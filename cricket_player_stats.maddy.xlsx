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6380" windowHeight="8190" tabRatio="500" firstSheet="2" activeTab="4"/>
  </bookViews>
  <sheets>
    <sheet name="Sheet1" sheetId="2" r:id="rId1"/>
    <sheet name="Sheet6" sheetId="7" r:id="rId2"/>
    <sheet name="Sheet3" sheetId="4" r:id="rId3"/>
    <sheet name="Sheet2" sheetId="3" r:id="rId4"/>
    <sheet name="Sheet5" sheetId="6" r:id="rId5"/>
    <sheet name="Sheet4" sheetId="5" r:id="rId6"/>
    <sheet name="Player Stats" sheetId="1" r:id="rId7"/>
  </sheets>
  <definedNames>
    <definedName name="_xlcn.WorksheetConnection_PlayerStatsA3K23" hidden="1">'Player Stats'!$A$3:$K$23</definedName>
  </definedNames>
  <calcPr calcId="162913" iterateDelta="1E-4"/>
  <pivotCaches>
    <pivotCache cacheId="11" r:id="rId8"/>
    <pivotCache cacheId="10" r:id="rId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Player Stats!$A$3:$K$23"/>
        </x15:modelTables>
      </x15:dataModel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1" l="1"/>
  <c r="E25" i="1"/>
  <c r="D25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I25" i="1" s="1"/>
  <c r="H4" i="1"/>
  <c r="H25" i="1" s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Player Stats!$A$3:$K$23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layerStatsA3K23"/>
        </x15:connection>
      </ext>
    </extLst>
  </connection>
</connections>
</file>

<file path=xl/sharedStrings.xml><?xml version="1.0" encoding="utf-8"?>
<sst xmlns="http://schemas.openxmlformats.org/spreadsheetml/2006/main" count="193" uniqueCount="51">
  <si>
    <t>Sample T20 Cricket Player Statistics (Demo Data)</t>
  </si>
  <si>
    <t>Player</t>
  </si>
  <si>
    <t>Country</t>
  </si>
  <si>
    <t>Role</t>
  </si>
  <si>
    <t>Matches</t>
  </si>
  <si>
    <t>Runs</t>
  </si>
  <si>
    <t>Wickets</t>
  </si>
  <si>
    <t>Balls Faced</t>
  </si>
  <si>
    <t>Batting Average</t>
  </si>
  <si>
    <t>Strike Rate</t>
  </si>
  <si>
    <t>50s</t>
  </si>
  <si>
    <t>Highest Score</t>
  </si>
  <si>
    <t>Aarav Sharma</t>
  </si>
  <si>
    <t>India</t>
  </si>
  <si>
    <t>Batsman</t>
  </si>
  <si>
    <t>Ben Carter</t>
  </si>
  <si>
    <t>Australia</t>
  </si>
  <si>
    <t>Carlos Mendes</t>
  </si>
  <si>
    <t>South Africa</t>
  </si>
  <si>
    <t>All-rounder</t>
  </si>
  <si>
    <t>Daniel Okoye</t>
  </si>
  <si>
    <t>England</t>
  </si>
  <si>
    <t>Bowler</t>
  </si>
  <si>
    <t>Eshan Verma</t>
  </si>
  <si>
    <t>Wicketkeeper</t>
  </si>
  <si>
    <t>Farhan Khan</t>
  </si>
  <si>
    <t>Pakistan</t>
  </si>
  <si>
    <t>George Wilson</t>
  </si>
  <si>
    <t>Hamza Sheikh</t>
  </si>
  <si>
    <t>Ishaan Patel</t>
  </si>
  <si>
    <t>Jake Thompson</t>
  </si>
  <si>
    <t>Kabir Singh</t>
  </si>
  <si>
    <t>Liam O'Brien</t>
  </si>
  <si>
    <t>Mohit Rao</t>
  </si>
  <si>
    <t>Nathan Reid</t>
  </si>
  <si>
    <t>Omar Farooq</t>
  </si>
  <si>
    <t>Priya Nair</t>
  </si>
  <si>
    <t>Quinton Davies</t>
  </si>
  <si>
    <t>Rahul Mehta</t>
  </si>
  <si>
    <t>Sam Walker</t>
  </si>
  <si>
    <t>Tariq Aziz</t>
  </si>
  <si>
    <t>Team Totals / Averages</t>
  </si>
  <si>
    <t>Row Labels</t>
  </si>
  <si>
    <t>Grand Total</t>
  </si>
  <si>
    <t>Sum of Matches</t>
  </si>
  <si>
    <t>Sum of Runs</t>
  </si>
  <si>
    <t>Sum of Balls Faced</t>
  </si>
  <si>
    <t>Sum of Wickets</t>
  </si>
  <si>
    <t>Sum of Batting Average</t>
  </si>
  <si>
    <t>Sum of Strike Rate</t>
  </si>
  <si>
    <t>Sum of 50s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</si>
</sst>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[cricket_player_stats.maddy.xlsx]Sheet1!PivotTable1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Matches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Sheet1!$A$4:$A$24</c:f>
              <c:strCache>
                <c:ptCount val="20"/>
                <c:pt idx="0">
                  <c:v>Aarav Sharma</c:v>
                </c:pt>
                <c:pt idx="1">
                  <c:v>Ben Carter</c:v>
                </c:pt>
                <c:pt idx="2">
                  <c:v>Carlos Mendes</c:v>
                </c:pt>
                <c:pt idx="3">
                  <c:v>Daniel Okoye</c:v>
                </c:pt>
                <c:pt idx="4">
                  <c:v>Eshan Verma</c:v>
                </c:pt>
                <c:pt idx="5">
                  <c:v>Farhan Khan</c:v>
                </c:pt>
                <c:pt idx="6">
                  <c:v>George Wilson</c:v>
                </c:pt>
                <c:pt idx="7">
                  <c:v>Hamza Sheikh</c:v>
                </c:pt>
                <c:pt idx="8">
                  <c:v>Ishaan Patel</c:v>
                </c:pt>
                <c:pt idx="9">
                  <c:v>Jake Thompson</c:v>
                </c:pt>
                <c:pt idx="10">
                  <c:v>Kabir Singh</c:v>
                </c:pt>
                <c:pt idx="11">
                  <c:v>Liam O'Brien</c:v>
                </c:pt>
                <c:pt idx="12">
                  <c:v>Mohit Rao</c:v>
                </c:pt>
                <c:pt idx="13">
                  <c:v>Nathan Reid</c:v>
                </c:pt>
                <c:pt idx="14">
                  <c:v>Omar Farooq</c:v>
                </c:pt>
                <c:pt idx="15">
                  <c:v>Priya Nair</c:v>
                </c:pt>
                <c:pt idx="16">
                  <c:v>Quinton Davies</c:v>
                </c:pt>
                <c:pt idx="17">
                  <c:v>Rahul Mehta</c:v>
                </c:pt>
                <c:pt idx="18">
                  <c:v>Sam Walker</c:v>
                </c:pt>
                <c:pt idx="19">
                  <c:v>Tariq Aziz</c:v>
                </c:pt>
              </c:strCache>
            </c:strRef>
          </c:cat>
          <c:val>
            <c:numRef>
              <c:f>Sheet1!$B$4:$B$24</c:f>
              <c:numCache>
                <c:formatCode>General</c:formatCode>
                <c:ptCount val="20"/>
                <c:pt idx="0">
                  <c:v>45</c:v>
                </c:pt>
                <c:pt idx="1">
                  <c:v>52</c:v>
                </c:pt>
                <c:pt idx="2">
                  <c:v>48</c:v>
                </c:pt>
                <c:pt idx="3">
                  <c:v>60</c:v>
                </c:pt>
                <c:pt idx="4">
                  <c:v>55</c:v>
                </c:pt>
                <c:pt idx="5">
                  <c:v>58</c:v>
                </c:pt>
                <c:pt idx="6">
                  <c:v>50</c:v>
                </c:pt>
                <c:pt idx="7">
                  <c:v>47</c:v>
                </c:pt>
                <c:pt idx="8">
                  <c:v>62</c:v>
                </c:pt>
                <c:pt idx="9">
                  <c:v>53</c:v>
                </c:pt>
                <c:pt idx="10">
                  <c:v>44</c:v>
                </c:pt>
                <c:pt idx="11">
                  <c:v>59</c:v>
                </c:pt>
                <c:pt idx="12">
                  <c:v>51</c:v>
                </c:pt>
                <c:pt idx="13">
                  <c:v>57</c:v>
                </c:pt>
                <c:pt idx="14">
                  <c:v>49</c:v>
                </c:pt>
                <c:pt idx="15">
                  <c:v>46</c:v>
                </c:pt>
                <c:pt idx="16">
                  <c:v>54</c:v>
                </c:pt>
                <c:pt idx="17">
                  <c:v>61</c:v>
                </c:pt>
                <c:pt idx="18">
                  <c:v>43</c:v>
                </c:pt>
                <c:pt idx="1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3-4B24-A2C6-691B5F558A5B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Runs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Sheet1!$A$4:$A$24</c:f>
              <c:strCache>
                <c:ptCount val="20"/>
                <c:pt idx="0">
                  <c:v>Aarav Sharma</c:v>
                </c:pt>
                <c:pt idx="1">
                  <c:v>Ben Carter</c:v>
                </c:pt>
                <c:pt idx="2">
                  <c:v>Carlos Mendes</c:v>
                </c:pt>
                <c:pt idx="3">
                  <c:v>Daniel Okoye</c:v>
                </c:pt>
                <c:pt idx="4">
                  <c:v>Eshan Verma</c:v>
                </c:pt>
                <c:pt idx="5">
                  <c:v>Farhan Khan</c:v>
                </c:pt>
                <c:pt idx="6">
                  <c:v>George Wilson</c:v>
                </c:pt>
                <c:pt idx="7">
                  <c:v>Hamza Sheikh</c:v>
                </c:pt>
                <c:pt idx="8">
                  <c:v>Ishaan Patel</c:v>
                </c:pt>
                <c:pt idx="9">
                  <c:v>Jake Thompson</c:v>
                </c:pt>
                <c:pt idx="10">
                  <c:v>Kabir Singh</c:v>
                </c:pt>
                <c:pt idx="11">
                  <c:v>Liam O'Brien</c:v>
                </c:pt>
                <c:pt idx="12">
                  <c:v>Mohit Rao</c:v>
                </c:pt>
                <c:pt idx="13">
                  <c:v>Nathan Reid</c:v>
                </c:pt>
                <c:pt idx="14">
                  <c:v>Omar Farooq</c:v>
                </c:pt>
                <c:pt idx="15">
                  <c:v>Priya Nair</c:v>
                </c:pt>
                <c:pt idx="16">
                  <c:v>Quinton Davies</c:v>
                </c:pt>
                <c:pt idx="17">
                  <c:v>Rahul Mehta</c:v>
                </c:pt>
                <c:pt idx="18">
                  <c:v>Sam Walker</c:v>
                </c:pt>
                <c:pt idx="19">
                  <c:v>Tariq Aziz</c:v>
                </c:pt>
              </c:strCache>
            </c:strRef>
          </c:cat>
          <c:val>
            <c:numRef>
              <c:f>Sheet1!$C$4:$C$24</c:f>
              <c:numCache>
                <c:formatCode>General</c:formatCode>
                <c:ptCount val="20"/>
                <c:pt idx="0">
                  <c:v>1620</c:v>
                </c:pt>
                <c:pt idx="1">
                  <c:v>1890</c:v>
                </c:pt>
                <c:pt idx="2">
                  <c:v>1340</c:v>
                </c:pt>
                <c:pt idx="3">
                  <c:v>210</c:v>
                </c:pt>
                <c:pt idx="4">
                  <c:v>1750</c:v>
                </c:pt>
                <c:pt idx="5">
                  <c:v>180</c:v>
                </c:pt>
                <c:pt idx="6">
                  <c:v>1200</c:v>
                </c:pt>
                <c:pt idx="7">
                  <c:v>1580</c:v>
                </c:pt>
                <c:pt idx="8">
                  <c:v>190</c:v>
                </c:pt>
                <c:pt idx="9">
                  <c:v>1410</c:v>
                </c:pt>
                <c:pt idx="10">
                  <c:v>1500</c:v>
                </c:pt>
                <c:pt idx="11">
                  <c:v>150</c:v>
                </c:pt>
                <c:pt idx="12">
                  <c:v>1620</c:v>
                </c:pt>
                <c:pt idx="13">
                  <c:v>200</c:v>
                </c:pt>
                <c:pt idx="14">
                  <c:v>1280</c:v>
                </c:pt>
                <c:pt idx="15">
                  <c:v>1490</c:v>
                </c:pt>
                <c:pt idx="16">
                  <c:v>1700</c:v>
                </c:pt>
                <c:pt idx="17">
                  <c:v>170</c:v>
                </c:pt>
                <c:pt idx="18">
                  <c:v>1380</c:v>
                </c:pt>
                <c:pt idx="19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A3-4B24-A2C6-691B5F558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8148480"/>
        <c:axId val="1118148896"/>
        <c:axId val="0"/>
      </c:bar3DChart>
      <c:catAx>
        <c:axId val="111814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148896"/>
        <c:crosses val="autoZero"/>
        <c:auto val="1"/>
        <c:lblAlgn val="ctr"/>
        <c:lblOffset val="100"/>
        <c:noMultiLvlLbl val="0"/>
      </c:catAx>
      <c:valAx>
        <c:axId val="11181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14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[cricket_player_stats.maddy.xlsx]Sheet3!PivotTable3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Matches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Sheet3!$A$4:$A$24</c:f>
              <c:strCache>
                <c:ptCount val="20"/>
                <c:pt idx="0">
                  <c:v>Aarav Sharma</c:v>
                </c:pt>
                <c:pt idx="1">
                  <c:v>Ben Carter</c:v>
                </c:pt>
                <c:pt idx="2">
                  <c:v>Carlos Mendes</c:v>
                </c:pt>
                <c:pt idx="3">
                  <c:v>Daniel Okoye</c:v>
                </c:pt>
                <c:pt idx="4">
                  <c:v>Eshan Verma</c:v>
                </c:pt>
                <c:pt idx="5">
                  <c:v>Farhan Khan</c:v>
                </c:pt>
                <c:pt idx="6">
                  <c:v>George Wilson</c:v>
                </c:pt>
                <c:pt idx="7">
                  <c:v>Hamza Sheikh</c:v>
                </c:pt>
                <c:pt idx="8">
                  <c:v>Ishaan Patel</c:v>
                </c:pt>
                <c:pt idx="9">
                  <c:v>Jake Thompson</c:v>
                </c:pt>
                <c:pt idx="10">
                  <c:v>Kabir Singh</c:v>
                </c:pt>
                <c:pt idx="11">
                  <c:v>Liam O'Brien</c:v>
                </c:pt>
                <c:pt idx="12">
                  <c:v>Mohit Rao</c:v>
                </c:pt>
                <c:pt idx="13">
                  <c:v>Nathan Reid</c:v>
                </c:pt>
                <c:pt idx="14">
                  <c:v>Omar Farooq</c:v>
                </c:pt>
                <c:pt idx="15">
                  <c:v>Priya Nair</c:v>
                </c:pt>
                <c:pt idx="16">
                  <c:v>Quinton Davies</c:v>
                </c:pt>
                <c:pt idx="17">
                  <c:v>Rahul Mehta</c:v>
                </c:pt>
                <c:pt idx="18">
                  <c:v>Sam Walker</c:v>
                </c:pt>
                <c:pt idx="19">
                  <c:v>Tariq Aziz</c:v>
                </c:pt>
              </c:strCache>
            </c:strRef>
          </c:cat>
          <c:val>
            <c:numRef>
              <c:f>Sheet3!$B$4:$B$24</c:f>
              <c:numCache>
                <c:formatCode>General</c:formatCode>
                <c:ptCount val="20"/>
                <c:pt idx="0">
                  <c:v>45</c:v>
                </c:pt>
                <c:pt idx="1">
                  <c:v>52</c:v>
                </c:pt>
                <c:pt idx="2">
                  <c:v>48</c:v>
                </c:pt>
                <c:pt idx="3">
                  <c:v>60</c:v>
                </c:pt>
                <c:pt idx="4">
                  <c:v>55</c:v>
                </c:pt>
                <c:pt idx="5">
                  <c:v>58</c:v>
                </c:pt>
                <c:pt idx="6">
                  <c:v>50</c:v>
                </c:pt>
                <c:pt idx="7">
                  <c:v>47</c:v>
                </c:pt>
                <c:pt idx="8">
                  <c:v>62</c:v>
                </c:pt>
                <c:pt idx="9">
                  <c:v>53</c:v>
                </c:pt>
                <c:pt idx="10">
                  <c:v>44</c:v>
                </c:pt>
                <c:pt idx="11">
                  <c:v>59</c:v>
                </c:pt>
                <c:pt idx="12">
                  <c:v>51</c:v>
                </c:pt>
                <c:pt idx="13">
                  <c:v>57</c:v>
                </c:pt>
                <c:pt idx="14">
                  <c:v>49</c:v>
                </c:pt>
                <c:pt idx="15">
                  <c:v>46</c:v>
                </c:pt>
                <c:pt idx="16">
                  <c:v>54</c:v>
                </c:pt>
                <c:pt idx="17">
                  <c:v>61</c:v>
                </c:pt>
                <c:pt idx="18">
                  <c:v>43</c:v>
                </c:pt>
                <c:pt idx="1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5-46CA-84BA-8C5F40BF87FC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Balls Faced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Sheet3!$A$4:$A$24</c:f>
              <c:strCache>
                <c:ptCount val="20"/>
                <c:pt idx="0">
                  <c:v>Aarav Sharma</c:v>
                </c:pt>
                <c:pt idx="1">
                  <c:v>Ben Carter</c:v>
                </c:pt>
                <c:pt idx="2">
                  <c:v>Carlos Mendes</c:v>
                </c:pt>
                <c:pt idx="3">
                  <c:v>Daniel Okoye</c:v>
                </c:pt>
                <c:pt idx="4">
                  <c:v>Eshan Verma</c:v>
                </c:pt>
                <c:pt idx="5">
                  <c:v>Farhan Khan</c:v>
                </c:pt>
                <c:pt idx="6">
                  <c:v>George Wilson</c:v>
                </c:pt>
                <c:pt idx="7">
                  <c:v>Hamza Sheikh</c:v>
                </c:pt>
                <c:pt idx="8">
                  <c:v>Ishaan Patel</c:v>
                </c:pt>
                <c:pt idx="9">
                  <c:v>Jake Thompson</c:v>
                </c:pt>
                <c:pt idx="10">
                  <c:v>Kabir Singh</c:v>
                </c:pt>
                <c:pt idx="11">
                  <c:v>Liam O'Brien</c:v>
                </c:pt>
                <c:pt idx="12">
                  <c:v>Mohit Rao</c:v>
                </c:pt>
                <c:pt idx="13">
                  <c:v>Nathan Reid</c:v>
                </c:pt>
                <c:pt idx="14">
                  <c:v>Omar Farooq</c:v>
                </c:pt>
                <c:pt idx="15">
                  <c:v>Priya Nair</c:v>
                </c:pt>
                <c:pt idx="16">
                  <c:v>Quinton Davies</c:v>
                </c:pt>
                <c:pt idx="17">
                  <c:v>Rahul Mehta</c:v>
                </c:pt>
                <c:pt idx="18">
                  <c:v>Sam Walker</c:v>
                </c:pt>
                <c:pt idx="19">
                  <c:v>Tariq Aziz</c:v>
                </c:pt>
              </c:strCache>
            </c:strRef>
          </c:cat>
          <c:val>
            <c:numRef>
              <c:f>Sheet3!$C$4:$C$24</c:f>
              <c:numCache>
                <c:formatCode>General</c:formatCode>
                <c:ptCount val="20"/>
                <c:pt idx="0">
                  <c:v>201</c:v>
                </c:pt>
                <c:pt idx="1">
                  <c:v>210</c:v>
                </c:pt>
                <c:pt idx="2">
                  <c:v>180</c:v>
                </c:pt>
                <c:pt idx="3">
                  <c:v>400</c:v>
                </c:pt>
                <c:pt idx="4">
                  <c:v>205</c:v>
                </c:pt>
                <c:pt idx="5">
                  <c:v>355</c:v>
                </c:pt>
                <c:pt idx="6">
                  <c:v>160</c:v>
                </c:pt>
                <c:pt idx="7">
                  <c:v>190</c:v>
                </c:pt>
                <c:pt idx="8">
                  <c:v>420</c:v>
                </c:pt>
                <c:pt idx="9">
                  <c:v>170</c:v>
                </c:pt>
                <c:pt idx="10">
                  <c:v>198</c:v>
                </c:pt>
                <c:pt idx="11">
                  <c:v>380</c:v>
                </c:pt>
                <c:pt idx="12">
                  <c:v>188</c:v>
                </c:pt>
                <c:pt idx="13">
                  <c:v>410</c:v>
                </c:pt>
                <c:pt idx="14">
                  <c:v>165</c:v>
                </c:pt>
                <c:pt idx="15">
                  <c:v>178</c:v>
                </c:pt>
                <c:pt idx="16">
                  <c:v>195</c:v>
                </c:pt>
                <c:pt idx="17">
                  <c:v>395</c:v>
                </c:pt>
                <c:pt idx="18">
                  <c:v>182</c:v>
                </c:pt>
                <c:pt idx="19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D5-46CA-84BA-8C5F40BF8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9386400"/>
        <c:axId val="1119374336"/>
      </c:barChart>
      <c:catAx>
        <c:axId val="1119386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374336"/>
        <c:crosses val="autoZero"/>
        <c:auto val="1"/>
        <c:lblAlgn val="ctr"/>
        <c:lblOffset val="100"/>
        <c:noMultiLvlLbl val="0"/>
      </c:catAx>
      <c:valAx>
        <c:axId val="111937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38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[cricket_player_stats.maddy.xlsx]Sheet2!PivotTable2</c:name>
    <c:fmtId val="2"/>
  </c:pivotSource>
  <c:chart>
    <c:title>
      <c:layout>
        <c:manualLayout>
          <c:xMode val="edge"/>
          <c:yMode val="edge"/>
          <c:x val="0.46338888888888891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Matches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Sheet2!$A$4:$A$24</c:f>
              <c:strCache>
                <c:ptCount val="20"/>
                <c:pt idx="0">
                  <c:v>Aarav Sharma</c:v>
                </c:pt>
                <c:pt idx="1">
                  <c:v>Ben Carter</c:v>
                </c:pt>
                <c:pt idx="2">
                  <c:v>Carlos Mendes</c:v>
                </c:pt>
                <c:pt idx="3">
                  <c:v>Daniel Okoye</c:v>
                </c:pt>
                <c:pt idx="4">
                  <c:v>Eshan Verma</c:v>
                </c:pt>
                <c:pt idx="5">
                  <c:v>Farhan Khan</c:v>
                </c:pt>
                <c:pt idx="6">
                  <c:v>George Wilson</c:v>
                </c:pt>
                <c:pt idx="7">
                  <c:v>Hamza Sheikh</c:v>
                </c:pt>
                <c:pt idx="8">
                  <c:v>Ishaan Patel</c:v>
                </c:pt>
                <c:pt idx="9">
                  <c:v>Jake Thompson</c:v>
                </c:pt>
                <c:pt idx="10">
                  <c:v>Kabir Singh</c:v>
                </c:pt>
                <c:pt idx="11">
                  <c:v>Liam O'Brien</c:v>
                </c:pt>
                <c:pt idx="12">
                  <c:v>Mohit Rao</c:v>
                </c:pt>
                <c:pt idx="13">
                  <c:v>Nathan Reid</c:v>
                </c:pt>
                <c:pt idx="14">
                  <c:v>Omar Farooq</c:v>
                </c:pt>
                <c:pt idx="15">
                  <c:v>Priya Nair</c:v>
                </c:pt>
                <c:pt idx="16">
                  <c:v>Quinton Davies</c:v>
                </c:pt>
                <c:pt idx="17">
                  <c:v>Rahul Mehta</c:v>
                </c:pt>
                <c:pt idx="18">
                  <c:v>Sam Walker</c:v>
                </c:pt>
                <c:pt idx="19">
                  <c:v>Tariq Aziz</c:v>
                </c:pt>
              </c:strCache>
            </c:strRef>
          </c:cat>
          <c:val>
            <c:numRef>
              <c:f>Sheet2!$B$4:$B$24</c:f>
              <c:numCache>
                <c:formatCode>General</c:formatCode>
                <c:ptCount val="20"/>
                <c:pt idx="0">
                  <c:v>45</c:v>
                </c:pt>
                <c:pt idx="1">
                  <c:v>52</c:v>
                </c:pt>
                <c:pt idx="2">
                  <c:v>48</c:v>
                </c:pt>
                <c:pt idx="3">
                  <c:v>60</c:v>
                </c:pt>
                <c:pt idx="4">
                  <c:v>55</c:v>
                </c:pt>
                <c:pt idx="5">
                  <c:v>58</c:v>
                </c:pt>
                <c:pt idx="6">
                  <c:v>50</c:v>
                </c:pt>
                <c:pt idx="7">
                  <c:v>47</c:v>
                </c:pt>
                <c:pt idx="8">
                  <c:v>62</c:v>
                </c:pt>
                <c:pt idx="9">
                  <c:v>53</c:v>
                </c:pt>
                <c:pt idx="10">
                  <c:v>44</c:v>
                </c:pt>
                <c:pt idx="11">
                  <c:v>59</c:v>
                </c:pt>
                <c:pt idx="12">
                  <c:v>51</c:v>
                </c:pt>
                <c:pt idx="13">
                  <c:v>57</c:v>
                </c:pt>
                <c:pt idx="14">
                  <c:v>49</c:v>
                </c:pt>
                <c:pt idx="15">
                  <c:v>46</c:v>
                </c:pt>
                <c:pt idx="16">
                  <c:v>54</c:v>
                </c:pt>
                <c:pt idx="17">
                  <c:v>61</c:v>
                </c:pt>
                <c:pt idx="18">
                  <c:v>43</c:v>
                </c:pt>
                <c:pt idx="1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B-410B-869D-F5B29082B951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Balls Faced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Sheet2!$A$4:$A$24</c:f>
              <c:strCache>
                <c:ptCount val="20"/>
                <c:pt idx="0">
                  <c:v>Aarav Sharma</c:v>
                </c:pt>
                <c:pt idx="1">
                  <c:v>Ben Carter</c:v>
                </c:pt>
                <c:pt idx="2">
                  <c:v>Carlos Mendes</c:v>
                </c:pt>
                <c:pt idx="3">
                  <c:v>Daniel Okoye</c:v>
                </c:pt>
                <c:pt idx="4">
                  <c:v>Eshan Verma</c:v>
                </c:pt>
                <c:pt idx="5">
                  <c:v>Farhan Khan</c:v>
                </c:pt>
                <c:pt idx="6">
                  <c:v>George Wilson</c:v>
                </c:pt>
                <c:pt idx="7">
                  <c:v>Hamza Sheikh</c:v>
                </c:pt>
                <c:pt idx="8">
                  <c:v>Ishaan Patel</c:v>
                </c:pt>
                <c:pt idx="9">
                  <c:v>Jake Thompson</c:v>
                </c:pt>
                <c:pt idx="10">
                  <c:v>Kabir Singh</c:v>
                </c:pt>
                <c:pt idx="11">
                  <c:v>Liam O'Brien</c:v>
                </c:pt>
                <c:pt idx="12">
                  <c:v>Mohit Rao</c:v>
                </c:pt>
                <c:pt idx="13">
                  <c:v>Nathan Reid</c:v>
                </c:pt>
                <c:pt idx="14">
                  <c:v>Omar Farooq</c:v>
                </c:pt>
                <c:pt idx="15">
                  <c:v>Priya Nair</c:v>
                </c:pt>
                <c:pt idx="16">
                  <c:v>Quinton Davies</c:v>
                </c:pt>
                <c:pt idx="17">
                  <c:v>Rahul Mehta</c:v>
                </c:pt>
                <c:pt idx="18">
                  <c:v>Sam Walker</c:v>
                </c:pt>
                <c:pt idx="19">
                  <c:v>Tariq Aziz</c:v>
                </c:pt>
              </c:strCache>
            </c:strRef>
          </c:cat>
          <c:val>
            <c:numRef>
              <c:f>Sheet2!$C$4:$C$24</c:f>
              <c:numCache>
                <c:formatCode>General</c:formatCode>
                <c:ptCount val="20"/>
                <c:pt idx="0">
                  <c:v>201</c:v>
                </c:pt>
                <c:pt idx="1">
                  <c:v>210</c:v>
                </c:pt>
                <c:pt idx="2">
                  <c:v>180</c:v>
                </c:pt>
                <c:pt idx="3">
                  <c:v>400</c:v>
                </c:pt>
                <c:pt idx="4">
                  <c:v>205</c:v>
                </c:pt>
                <c:pt idx="5">
                  <c:v>355</c:v>
                </c:pt>
                <c:pt idx="6">
                  <c:v>160</c:v>
                </c:pt>
                <c:pt idx="7">
                  <c:v>190</c:v>
                </c:pt>
                <c:pt idx="8">
                  <c:v>420</c:v>
                </c:pt>
                <c:pt idx="9">
                  <c:v>170</c:v>
                </c:pt>
                <c:pt idx="10">
                  <c:v>198</c:v>
                </c:pt>
                <c:pt idx="11">
                  <c:v>380</c:v>
                </c:pt>
                <c:pt idx="12">
                  <c:v>188</c:v>
                </c:pt>
                <c:pt idx="13">
                  <c:v>410</c:v>
                </c:pt>
                <c:pt idx="14">
                  <c:v>165</c:v>
                </c:pt>
                <c:pt idx="15">
                  <c:v>178</c:v>
                </c:pt>
                <c:pt idx="16">
                  <c:v>195</c:v>
                </c:pt>
                <c:pt idx="17">
                  <c:v>395</c:v>
                </c:pt>
                <c:pt idx="18">
                  <c:v>182</c:v>
                </c:pt>
                <c:pt idx="19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B-410B-869D-F5B29082B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[cricket_player_stats.maddy.xlsx]Sheet1!PivotTable1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7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Matches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Sheet1!$A$4:$A$24</c:f>
              <c:strCache>
                <c:ptCount val="20"/>
                <c:pt idx="0">
                  <c:v>Aarav Sharma</c:v>
                </c:pt>
                <c:pt idx="1">
                  <c:v>Ben Carter</c:v>
                </c:pt>
                <c:pt idx="2">
                  <c:v>Carlos Mendes</c:v>
                </c:pt>
                <c:pt idx="3">
                  <c:v>Daniel Okoye</c:v>
                </c:pt>
                <c:pt idx="4">
                  <c:v>Eshan Verma</c:v>
                </c:pt>
                <c:pt idx="5">
                  <c:v>Farhan Khan</c:v>
                </c:pt>
                <c:pt idx="6">
                  <c:v>George Wilson</c:v>
                </c:pt>
                <c:pt idx="7">
                  <c:v>Hamza Sheikh</c:v>
                </c:pt>
                <c:pt idx="8">
                  <c:v>Ishaan Patel</c:v>
                </c:pt>
                <c:pt idx="9">
                  <c:v>Jake Thompson</c:v>
                </c:pt>
                <c:pt idx="10">
                  <c:v>Kabir Singh</c:v>
                </c:pt>
                <c:pt idx="11">
                  <c:v>Liam O'Brien</c:v>
                </c:pt>
                <c:pt idx="12">
                  <c:v>Mohit Rao</c:v>
                </c:pt>
                <c:pt idx="13">
                  <c:v>Nathan Reid</c:v>
                </c:pt>
                <c:pt idx="14">
                  <c:v>Omar Farooq</c:v>
                </c:pt>
                <c:pt idx="15">
                  <c:v>Priya Nair</c:v>
                </c:pt>
                <c:pt idx="16">
                  <c:v>Quinton Davies</c:v>
                </c:pt>
                <c:pt idx="17">
                  <c:v>Rahul Mehta</c:v>
                </c:pt>
                <c:pt idx="18">
                  <c:v>Sam Walker</c:v>
                </c:pt>
                <c:pt idx="19">
                  <c:v>Tariq Aziz</c:v>
                </c:pt>
              </c:strCache>
            </c:strRef>
          </c:cat>
          <c:val>
            <c:numRef>
              <c:f>Sheet1!$B$4:$B$24</c:f>
              <c:numCache>
                <c:formatCode>General</c:formatCode>
                <c:ptCount val="20"/>
                <c:pt idx="0">
                  <c:v>45</c:v>
                </c:pt>
                <c:pt idx="1">
                  <c:v>52</c:v>
                </c:pt>
                <c:pt idx="2">
                  <c:v>48</c:v>
                </c:pt>
                <c:pt idx="3">
                  <c:v>60</c:v>
                </c:pt>
                <c:pt idx="4">
                  <c:v>55</c:v>
                </c:pt>
                <c:pt idx="5">
                  <c:v>58</c:v>
                </c:pt>
                <c:pt idx="6">
                  <c:v>50</c:v>
                </c:pt>
                <c:pt idx="7">
                  <c:v>47</c:v>
                </c:pt>
                <c:pt idx="8">
                  <c:v>62</c:v>
                </c:pt>
                <c:pt idx="9">
                  <c:v>53</c:v>
                </c:pt>
                <c:pt idx="10">
                  <c:v>44</c:v>
                </c:pt>
                <c:pt idx="11">
                  <c:v>59</c:v>
                </c:pt>
                <c:pt idx="12">
                  <c:v>51</c:v>
                </c:pt>
                <c:pt idx="13">
                  <c:v>57</c:v>
                </c:pt>
                <c:pt idx="14">
                  <c:v>49</c:v>
                </c:pt>
                <c:pt idx="15">
                  <c:v>46</c:v>
                </c:pt>
                <c:pt idx="16">
                  <c:v>54</c:v>
                </c:pt>
                <c:pt idx="17">
                  <c:v>61</c:v>
                </c:pt>
                <c:pt idx="18">
                  <c:v>43</c:v>
                </c:pt>
                <c:pt idx="1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76-42B4-8701-4B947202F11F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Runs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Sheet1!$A$4:$A$24</c:f>
              <c:strCache>
                <c:ptCount val="20"/>
                <c:pt idx="0">
                  <c:v>Aarav Sharma</c:v>
                </c:pt>
                <c:pt idx="1">
                  <c:v>Ben Carter</c:v>
                </c:pt>
                <c:pt idx="2">
                  <c:v>Carlos Mendes</c:v>
                </c:pt>
                <c:pt idx="3">
                  <c:v>Daniel Okoye</c:v>
                </c:pt>
                <c:pt idx="4">
                  <c:v>Eshan Verma</c:v>
                </c:pt>
                <c:pt idx="5">
                  <c:v>Farhan Khan</c:v>
                </c:pt>
                <c:pt idx="6">
                  <c:v>George Wilson</c:v>
                </c:pt>
                <c:pt idx="7">
                  <c:v>Hamza Sheikh</c:v>
                </c:pt>
                <c:pt idx="8">
                  <c:v>Ishaan Patel</c:v>
                </c:pt>
                <c:pt idx="9">
                  <c:v>Jake Thompson</c:v>
                </c:pt>
                <c:pt idx="10">
                  <c:v>Kabir Singh</c:v>
                </c:pt>
                <c:pt idx="11">
                  <c:v>Liam O'Brien</c:v>
                </c:pt>
                <c:pt idx="12">
                  <c:v>Mohit Rao</c:v>
                </c:pt>
                <c:pt idx="13">
                  <c:v>Nathan Reid</c:v>
                </c:pt>
                <c:pt idx="14">
                  <c:v>Omar Farooq</c:v>
                </c:pt>
                <c:pt idx="15">
                  <c:v>Priya Nair</c:v>
                </c:pt>
                <c:pt idx="16">
                  <c:v>Quinton Davies</c:v>
                </c:pt>
                <c:pt idx="17">
                  <c:v>Rahul Mehta</c:v>
                </c:pt>
                <c:pt idx="18">
                  <c:v>Sam Walker</c:v>
                </c:pt>
                <c:pt idx="19">
                  <c:v>Tariq Aziz</c:v>
                </c:pt>
              </c:strCache>
            </c:strRef>
          </c:cat>
          <c:val>
            <c:numRef>
              <c:f>Sheet1!$C$4:$C$24</c:f>
              <c:numCache>
                <c:formatCode>General</c:formatCode>
                <c:ptCount val="20"/>
                <c:pt idx="0">
                  <c:v>1620</c:v>
                </c:pt>
                <c:pt idx="1">
                  <c:v>1890</c:v>
                </c:pt>
                <c:pt idx="2">
                  <c:v>1340</c:v>
                </c:pt>
                <c:pt idx="3">
                  <c:v>210</c:v>
                </c:pt>
                <c:pt idx="4">
                  <c:v>1750</c:v>
                </c:pt>
                <c:pt idx="5">
                  <c:v>180</c:v>
                </c:pt>
                <c:pt idx="6">
                  <c:v>1200</c:v>
                </c:pt>
                <c:pt idx="7">
                  <c:v>1580</c:v>
                </c:pt>
                <c:pt idx="8">
                  <c:v>190</c:v>
                </c:pt>
                <c:pt idx="9">
                  <c:v>1410</c:v>
                </c:pt>
                <c:pt idx="10">
                  <c:v>1500</c:v>
                </c:pt>
                <c:pt idx="11">
                  <c:v>150</c:v>
                </c:pt>
                <c:pt idx="12">
                  <c:v>1620</c:v>
                </c:pt>
                <c:pt idx="13">
                  <c:v>200</c:v>
                </c:pt>
                <c:pt idx="14">
                  <c:v>1280</c:v>
                </c:pt>
                <c:pt idx="15">
                  <c:v>1490</c:v>
                </c:pt>
                <c:pt idx="16">
                  <c:v>1700</c:v>
                </c:pt>
                <c:pt idx="17">
                  <c:v>170</c:v>
                </c:pt>
                <c:pt idx="18">
                  <c:v>1380</c:v>
                </c:pt>
                <c:pt idx="19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376-42B4-8701-4B947202F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8148480"/>
        <c:axId val="1118148896"/>
        <c:axId val="0"/>
      </c:bar3DChart>
      <c:catAx>
        <c:axId val="111814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148896"/>
        <c:crosses val="autoZero"/>
        <c:auto val="1"/>
        <c:lblAlgn val="ctr"/>
        <c:lblOffset val="100"/>
        <c:noMultiLvlLbl val="0"/>
      </c:catAx>
      <c:valAx>
        <c:axId val="11181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148480"/>
        <c:crosses val="autoZero"/>
        <c:crossBetween val="between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[cricket_player_stats.maddy.xlsx]Sheet1!PivotTable1</c:name>
    <c:fmtId val="9"/>
  </c:pivotSource>
  <c:chart>
    <c:title>
      <c:layout>
        <c:manualLayout>
          <c:xMode val="edge"/>
          <c:yMode val="edge"/>
          <c:x val="0.46338888888888891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marker>
          <c:symbol val="none"/>
        </c:marke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4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5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6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2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3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4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5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6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>
              <a:lumMod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2">
              <a:lumMod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marker>
          <c:symbol val="none"/>
        </c:marke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4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5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6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2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3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4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5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6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>
              <a:lumMod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2">
              <a:lumMod val="8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Sum of Matches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2BE-4459-A777-DBD06D0C21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2BE-4459-A777-DBD06D0C21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2BE-4459-A777-DBD06D0C21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2BE-4459-A777-DBD06D0C21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2BE-4459-A777-DBD06D0C21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2BE-4459-A777-DBD06D0C21C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2BE-4459-A777-DBD06D0C21C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2BE-4459-A777-DBD06D0C21C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2BE-4459-A777-DBD06D0C21C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2BE-4459-A777-DBD06D0C21C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82BE-4459-A777-DBD06D0C21C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82BE-4459-A777-DBD06D0C21C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82BE-4459-A777-DBD06D0C21C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82BE-4459-A777-DBD06D0C21C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82BE-4459-A777-DBD06D0C21C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82BE-4459-A777-DBD06D0C21C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82BE-4459-A777-DBD06D0C21C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82BE-4459-A777-DBD06D0C21C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82BE-4459-A777-DBD06D0C21C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82BE-4459-A777-DBD06D0C21C2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2C-82BE-4459-A777-DBD06D0C21C2}"/>
              </c:ext>
            </c:extLst>
          </c:dPt>
          <c:cat>
            <c:strRef>
              <c:f>Sheet1!$A$4:$A$24</c:f>
              <c:strCache>
                <c:ptCount val="20"/>
                <c:pt idx="0">
                  <c:v>Aarav Sharma</c:v>
                </c:pt>
                <c:pt idx="1">
                  <c:v>Ben Carter</c:v>
                </c:pt>
                <c:pt idx="2">
                  <c:v>Carlos Mendes</c:v>
                </c:pt>
                <c:pt idx="3">
                  <c:v>Daniel Okoye</c:v>
                </c:pt>
                <c:pt idx="4">
                  <c:v>Eshan Verma</c:v>
                </c:pt>
                <c:pt idx="5">
                  <c:v>Farhan Khan</c:v>
                </c:pt>
                <c:pt idx="6">
                  <c:v>George Wilson</c:v>
                </c:pt>
                <c:pt idx="7">
                  <c:v>Hamza Sheikh</c:v>
                </c:pt>
                <c:pt idx="8">
                  <c:v>Ishaan Patel</c:v>
                </c:pt>
                <c:pt idx="9">
                  <c:v>Jake Thompson</c:v>
                </c:pt>
                <c:pt idx="10">
                  <c:v>Kabir Singh</c:v>
                </c:pt>
                <c:pt idx="11">
                  <c:v>Liam O'Brien</c:v>
                </c:pt>
                <c:pt idx="12">
                  <c:v>Mohit Rao</c:v>
                </c:pt>
                <c:pt idx="13">
                  <c:v>Nathan Reid</c:v>
                </c:pt>
                <c:pt idx="14">
                  <c:v>Omar Farooq</c:v>
                </c:pt>
                <c:pt idx="15">
                  <c:v>Priya Nair</c:v>
                </c:pt>
                <c:pt idx="16">
                  <c:v>Quinton Davies</c:v>
                </c:pt>
                <c:pt idx="17">
                  <c:v>Rahul Mehta</c:v>
                </c:pt>
                <c:pt idx="18">
                  <c:v>Sam Walker</c:v>
                </c:pt>
                <c:pt idx="19">
                  <c:v>Tariq Aziz</c:v>
                </c:pt>
              </c:strCache>
            </c:strRef>
          </c:cat>
          <c:val>
            <c:numRef>
              <c:f>Sheet1!$B$4:$B$24</c:f>
              <c:numCache>
                <c:formatCode>General</c:formatCode>
                <c:ptCount val="20"/>
                <c:pt idx="0">
                  <c:v>45</c:v>
                </c:pt>
                <c:pt idx="1">
                  <c:v>52</c:v>
                </c:pt>
                <c:pt idx="2">
                  <c:v>48</c:v>
                </c:pt>
                <c:pt idx="3">
                  <c:v>60</c:v>
                </c:pt>
                <c:pt idx="4">
                  <c:v>55</c:v>
                </c:pt>
                <c:pt idx="5">
                  <c:v>58</c:v>
                </c:pt>
                <c:pt idx="6">
                  <c:v>50</c:v>
                </c:pt>
                <c:pt idx="7">
                  <c:v>47</c:v>
                </c:pt>
                <c:pt idx="8">
                  <c:v>62</c:v>
                </c:pt>
                <c:pt idx="9">
                  <c:v>53</c:v>
                </c:pt>
                <c:pt idx="10">
                  <c:v>44</c:v>
                </c:pt>
                <c:pt idx="11">
                  <c:v>59</c:v>
                </c:pt>
                <c:pt idx="12">
                  <c:v>51</c:v>
                </c:pt>
                <c:pt idx="13">
                  <c:v>57</c:v>
                </c:pt>
                <c:pt idx="14">
                  <c:v>49</c:v>
                </c:pt>
                <c:pt idx="15">
                  <c:v>46</c:v>
                </c:pt>
                <c:pt idx="16">
                  <c:v>54</c:v>
                </c:pt>
                <c:pt idx="17">
                  <c:v>61</c:v>
                </c:pt>
                <c:pt idx="18">
                  <c:v>43</c:v>
                </c:pt>
                <c:pt idx="1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82BE-4459-A777-DBD06D0C21C2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Runs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82BE-4459-A777-DBD06D0C21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82BE-4459-A777-DBD06D0C21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82BE-4459-A777-DBD06D0C21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82BE-4459-A777-DBD06D0C21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82BE-4459-A777-DBD06D0C21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82BE-4459-A777-DBD06D0C21C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82BE-4459-A777-DBD06D0C21C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82BE-4459-A777-DBD06D0C21C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82BE-4459-A777-DBD06D0C21C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82BE-4459-A777-DBD06D0C21C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82BE-4459-A777-DBD06D0C21C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82BE-4459-A777-DBD06D0C21C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8-82BE-4459-A777-DBD06D0C21C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A-82BE-4459-A777-DBD06D0C21C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82BE-4459-A777-DBD06D0C21C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82BE-4459-A777-DBD06D0C21C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82BE-4459-A777-DBD06D0C21C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82BE-4459-A777-DBD06D0C21C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4-82BE-4459-A777-DBD06D0C21C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6-82BE-4459-A777-DBD06D0C21C2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58-82BE-4459-A777-DBD06D0C21C2}"/>
              </c:ext>
            </c:extLst>
          </c:dPt>
          <c:cat>
            <c:strRef>
              <c:f>Sheet1!$A$4:$A$24</c:f>
              <c:strCache>
                <c:ptCount val="20"/>
                <c:pt idx="0">
                  <c:v>Aarav Sharma</c:v>
                </c:pt>
                <c:pt idx="1">
                  <c:v>Ben Carter</c:v>
                </c:pt>
                <c:pt idx="2">
                  <c:v>Carlos Mendes</c:v>
                </c:pt>
                <c:pt idx="3">
                  <c:v>Daniel Okoye</c:v>
                </c:pt>
                <c:pt idx="4">
                  <c:v>Eshan Verma</c:v>
                </c:pt>
                <c:pt idx="5">
                  <c:v>Farhan Khan</c:v>
                </c:pt>
                <c:pt idx="6">
                  <c:v>George Wilson</c:v>
                </c:pt>
                <c:pt idx="7">
                  <c:v>Hamza Sheikh</c:v>
                </c:pt>
                <c:pt idx="8">
                  <c:v>Ishaan Patel</c:v>
                </c:pt>
                <c:pt idx="9">
                  <c:v>Jake Thompson</c:v>
                </c:pt>
                <c:pt idx="10">
                  <c:v>Kabir Singh</c:v>
                </c:pt>
                <c:pt idx="11">
                  <c:v>Liam O'Brien</c:v>
                </c:pt>
                <c:pt idx="12">
                  <c:v>Mohit Rao</c:v>
                </c:pt>
                <c:pt idx="13">
                  <c:v>Nathan Reid</c:v>
                </c:pt>
                <c:pt idx="14">
                  <c:v>Omar Farooq</c:v>
                </c:pt>
                <c:pt idx="15">
                  <c:v>Priya Nair</c:v>
                </c:pt>
                <c:pt idx="16">
                  <c:v>Quinton Davies</c:v>
                </c:pt>
                <c:pt idx="17">
                  <c:v>Rahul Mehta</c:v>
                </c:pt>
                <c:pt idx="18">
                  <c:v>Sam Walker</c:v>
                </c:pt>
                <c:pt idx="19">
                  <c:v>Tariq Aziz</c:v>
                </c:pt>
              </c:strCache>
            </c:strRef>
          </c:cat>
          <c:val>
            <c:numRef>
              <c:f>Sheet1!$C$4:$C$24</c:f>
              <c:numCache>
                <c:formatCode>General</c:formatCode>
                <c:ptCount val="20"/>
                <c:pt idx="0">
                  <c:v>1620</c:v>
                </c:pt>
                <c:pt idx="1">
                  <c:v>1890</c:v>
                </c:pt>
                <c:pt idx="2">
                  <c:v>1340</c:v>
                </c:pt>
                <c:pt idx="3">
                  <c:v>210</c:v>
                </c:pt>
                <c:pt idx="4">
                  <c:v>1750</c:v>
                </c:pt>
                <c:pt idx="5">
                  <c:v>180</c:v>
                </c:pt>
                <c:pt idx="6">
                  <c:v>1200</c:v>
                </c:pt>
                <c:pt idx="7">
                  <c:v>1580</c:v>
                </c:pt>
                <c:pt idx="8">
                  <c:v>190</c:v>
                </c:pt>
                <c:pt idx="9">
                  <c:v>1410</c:v>
                </c:pt>
                <c:pt idx="10">
                  <c:v>1500</c:v>
                </c:pt>
                <c:pt idx="11">
                  <c:v>150</c:v>
                </c:pt>
                <c:pt idx="12">
                  <c:v>1620</c:v>
                </c:pt>
                <c:pt idx="13">
                  <c:v>200</c:v>
                </c:pt>
                <c:pt idx="14">
                  <c:v>1280</c:v>
                </c:pt>
                <c:pt idx="15">
                  <c:v>1490</c:v>
                </c:pt>
                <c:pt idx="16">
                  <c:v>1700</c:v>
                </c:pt>
                <c:pt idx="17">
                  <c:v>170</c:v>
                </c:pt>
                <c:pt idx="18">
                  <c:v>1380</c:v>
                </c:pt>
                <c:pt idx="19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82BE-4459-A777-DBD06D0C2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[cricket_player_stats.maddy.xlsx]Sheet2!PivotTable2</c:name>
    <c:fmtId val="5"/>
  </c:pivotSource>
  <c:chart>
    <c:title>
      <c:layout>
        <c:manualLayout>
          <c:xMode val="edge"/>
          <c:yMode val="edge"/>
          <c:x val="0.46338888888888891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Matches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D6-4169-944A-6277D1B249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D6-4169-944A-6277D1B249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D6-4169-944A-6277D1B249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BD6-4169-944A-6277D1B249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BD6-4169-944A-6277D1B249E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BD6-4169-944A-6277D1B249E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BD6-4169-944A-6277D1B249E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BD6-4169-944A-6277D1B249E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BD6-4169-944A-6277D1B249E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BD6-4169-944A-6277D1B249E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BD6-4169-944A-6277D1B249E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BD6-4169-944A-6277D1B249E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BD6-4169-944A-6277D1B249E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BD6-4169-944A-6277D1B249E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BD6-4169-944A-6277D1B249E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BD6-4169-944A-6277D1B249E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BD6-4169-944A-6277D1B249E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BD6-4169-944A-6277D1B249E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BD6-4169-944A-6277D1B249E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BD6-4169-944A-6277D1B249E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BD6-4169-944A-6277D1B249E7}"/>
              </c:ext>
            </c:extLst>
          </c:dPt>
          <c:cat>
            <c:strRef>
              <c:f>Sheet2!$A$4:$A$24</c:f>
              <c:strCache>
                <c:ptCount val="20"/>
                <c:pt idx="0">
                  <c:v>Aarav Sharma</c:v>
                </c:pt>
                <c:pt idx="1">
                  <c:v>Ben Carter</c:v>
                </c:pt>
                <c:pt idx="2">
                  <c:v>Carlos Mendes</c:v>
                </c:pt>
                <c:pt idx="3">
                  <c:v>Daniel Okoye</c:v>
                </c:pt>
                <c:pt idx="4">
                  <c:v>Eshan Verma</c:v>
                </c:pt>
                <c:pt idx="5">
                  <c:v>Farhan Khan</c:v>
                </c:pt>
                <c:pt idx="6">
                  <c:v>George Wilson</c:v>
                </c:pt>
                <c:pt idx="7">
                  <c:v>Hamza Sheikh</c:v>
                </c:pt>
                <c:pt idx="8">
                  <c:v>Ishaan Patel</c:v>
                </c:pt>
                <c:pt idx="9">
                  <c:v>Jake Thompson</c:v>
                </c:pt>
                <c:pt idx="10">
                  <c:v>Kabir Singh</c:v>
                </c:pt>
                <c:pt idx="11">
                  <c:v>Liam O'Brien</c:v>
                </c:pt>
                <c:pt idx="12">
                  <c:v>Mohit Rao</c:v>
                </c:pt>
                <c:pt idx="13">
                  <c:v>Nathan Reid</c:v>
                </c:pt>
                <c:pt idx="14">
                  <c:v>Omar Farooq</c:v>
                </c:pt>
                <c:pt idx="15">
                  <c:v>Priya Nair</c:v>
                </c:pt>
                <c:pt idx="16">
                  <c:v>Quinton Davies</c:v>
                </c:pt>
                <c:pt idx="17">
                  <c:v>Rahul Mehta</c:v>
                </c:pt>
                <c:pt idx="18">
                  <c:v>Sam Walker</c:v>
                </c:pt>
                <c:pt idx="19">
                  <c:v>Tariq Aziz</c:v>
                </c:pt>
              </c:strCache>
            </c:strRef>
          </c:cat>
          <c:val>
            <c:numRef>
              <c:f>Sheet2!$B$4:$B$24</c:f>
              <c:numCache>
                <c:formatCode>General</c:formatCode>
                <c:ptCount val="20"/>
                <c:pt idx="0">
                  <c:v>45</c:v>
                </c:pt>
                <c:pt idx="1">
                  <c:v>52</c:v>
                </c:pt>
                <c:pt idx="2">
                  <c:v>48</c:v>
                </c:pt>
                <c:pt idx="3">
                  <c:v>60</c:v>
                </c:pt>
                <c:pt idx="4">
                  <c:v>55</c:v>
                </c:pt>
                <c:pt idx="5">
                  <c:v>58</c:v>
                </c:pt>
                <c:pt idx="6">
                  <c:v>50</c:v>
                </c:pt>
                <c:pt idx="7">
                  <c:v>47</c:v>
                </c:pt>
                <c:pt idx="8">
                  <c:v>62</c:v>
                </c:pt>
                <c:pt idx="9">
                  <c:v>53</c:v>
                </c:pt>
                <c:pt idx="10">
                  <c:v>44</c:v>
                </c:pt>
                <c:pt idx="11">
                  <c:v>59</c:v>
                </c:pt>
                <c:pt idx="12">
                  <c:v>51</c:v>
                </c:pt>
                <c:pt idx="13">
                  <c:v>57</c:v>
                </c:pt>
                <c:pt idx="14">
                  <c:v>49</c:v>
                </c:pt>
                <c:pt idx="15">
                  <c:v>46</c:v>
                </c:pt>
                <c:pt idx="16">
                  <c:v>54</c:v>
                </c:pt>
                <c:pt idx="17">
                  <c:v>61</c:v>
                </c:pt>
                <c:pt idx="18">
                  <c:v>43</c:v>
                </c:pt>
                <c:pt idx="1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BD6-4169-944A-6277D1B249E7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Balls Faced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EBD6-4169-944A-6277D1B249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EBD6-4169-944A-6277D1B249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EBD6-4169-944A-6277D1B249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EBD6-4169-944A-6277D1B249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EBD6-4169-944A-6277D1B249E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EBD6-4169-944A-6277D1B249E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EBD6-4169-944A-6277D1B249E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EBD6-4169-944A-6277D1B249E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EBD6-4169-944A-6277D1B249E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EBD6-4169-944A-6277D1B249E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EBD6-4169-944A-6277D1B249E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EBD6-4169-944A-6277D1B249E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EBD6-4169-944A-6277D1B249E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EBD6-4169-944A-6277D1B249E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8-EBD6-4169-944A-6277D1B249E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A-EBD6-4169-944A-6277D1B249E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EBD6-4169-944A-6277D1B249E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EBD6-4169-944A-6277D1B249E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EBD6-4169-944A-6277D1B249E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EBD6-4169-944A-6277D1B249E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4-EBD6-4169-944A-6277D1B249E7}"/>
              </c:ext>
            </c:extLst>
          </c:dPt>
          <c:cat>
            <c:strRef>
              <c:f>Sheet2!$A$4:$A$24</c:f>
              <c:strCache>
                <c:ptCount val="20"/>
                <c:pt idx="0">
                  <c:v>Aarav Sharma</c:v>
                </c:pt>
                <c:pt idx="1">
                  <c:v>Ben Carter</c:v>
                </c:pt>
                <c:pt idx="2">
                  <c:v>Carlos Mendes</c:v>
                </c:pt>
                <c:pt idx="3">
                  <c:v>Daniel Okoye</c:v>
                </c:pt>
                <c:pt idx="4">
                  <c:v>Eshan Verma</c:v>
                </c:pt>
                <c:pt idx="5">
                  <c:v>Farhan Khan</c:v>
                </c:pt>
                <c:pt idx="6">
                  <c:v>George Wilson</c:v>
                </c:pt>
                <c:pt idx="7">
                  <c:v>Hamza Sheikh</c:v>
                </c:pt>
                <c:pt idx="8">
                  <c:v>Ishaan Patel</c:v>
                </c:pt>
                <c:pt idx="9">
                  <c:v>Jake Thompson</c:v>
                </c:pt>
                <c:pt idx="10">
                  <c:v>Kabir Singh</c:v>
                </c:pt>
                <c:pt idx="11">
                  <c:v>Liam O'Brien</c:v>
                </c:pt>
                <c:pt idx="12">
                  <c:v>Mohit Rao</c:v>
                </c:pt>
                <c:pt idx="13">
                  <c:v>Nathan Reid</c:v>
                </c:pt>
                <c:pt idx="14">
                  <c:v>Omar Farooq</c:v>
                </c:pt>
                <c:pt idx="15">
                  <c:v>Priya Nair</c:v>
                </c:pt>
                <c:pt idx="16">
                  <c:v>Quinton Davies</c:v>
                </c:pt>
                <c:pt idx="17">
                  <c:v>Rahul Mehta</c:v>
                </c:pt>
                <c:pt idx="18">
                  <c:v>Sam Walker</c:v>
                </c:pt>
                <c:pt idx="19">
                  <c:v>Tariq Aziz</c:v>
                </c:pt>
              </c:strCache>
            </c:strRef>
          </c:cat>
          <c:val>
            <c:numRef>
              <c:f>Sheet2!$C$4:$C$24</c:f>
              <c:numCache>
                <c:formatCode>General</c:formatCode>
                <c:ptCount val="20"/>
                <c:pt idx="0">
                  <c:v>201</c:v>
                </c:pt>
                <c:pt idx="1">
                  <c:v>210</c:v>
                </c:pt>
                <c:pt idx="2">
                  <c:v>180</c:v>
                </c:pt>
                <c:pt idx="3">
                  <c:v>400</c:v>
                </c:pt>
                <c:pt idx="4">
                  <c:v>205</c:v>
                </c:pt>
                <c:pt idx="5">
                  <c:v>355</c:v>
                </c:pt>
                <c:pt idx="6">
                  <c:v>160</c:v>
                </c:pt>
                <c:pt idx="7">
                  <c:v>190</c:v>
                </c:pt>
                <c:pt idx="8">
                  <c:v>420</c:v>
                </c:pt>
                <c:pt idx="9">
                  <c:v>170</c:v>
                </c:pt>
                <c:pt idx="10">
                  <c:v>198</c:v>
                </c:pt>
                <c:pt idx="11">
                  <c:v>380</c:v>
                </c:pt>
                <c:pt idx="12">
                  <c:v>188</c:v>
                </c:pt>
                <c:pt idx="13">
                  <c:v>410</c:v>
                </c:pt>
                <c:pt idx="14">
                  <c:v>165</c:v>
                </c:pt>
                <c:pt idx="15">
                  <c:v>178</c:v>
                </c:pt>
                <c:pt idx="16">
                  <c:v>195</c:v>
                </c:pt>
                <c:pt idx="17">
                  <c:v>395</c:v>
                </c:pt>
                <c:pt idx="18">
                  <c:v>182</c:v>
                </c:pt>
                <c:pt idx="19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EBD6-4169-944A-6277D1B24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[cricket_player_stats.maddy.xlsx]Sheet3!PivotTable3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8313735783027121"/>
          <c:y val="0.12010826771653543"/>
          <c:w val="0.37327384076990378"/>
          <c:h val="0.749344196558763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Matches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Sheet3!$A$4:$A$24</c:f>
              <c:strCache>
                <c:ptCount val="20"/>
                <c:pt idx="0">
                  <c:v>Aarav Sharma</c:v>
                </c:pt>
                <c:pt idx="1">
                  <c:v>Ben Carter</c:v>
                </c:pt>
                <c:pt idx="2">
                  <c:v>Carlos Mendes</c:v>
                </c:pt>
                <c:pt idx="3">
                  <c:v>Daniel Okoye</c:v>
                </c:pt>
                <c:pt idx="4">
                  <c:v>Eshan Verma</c:v>
                </c:pt>
                <c:pt idx="5">
                  <c:v>Farhan Khan</c:v>
                </c:pt>
                <c:pt idx="6">
                  <c:v>George Wilson</c:v>
                </c:pt>
                <c:pt idx="7">
                  <c:v>Hamza Sheikh</c:v>
                </c:pt>
                <c:pt idx="8">
                  <c:v>Ishaan Patel</c:v>
                </c:pt>
                <c:pt idx="9">
                  <c:v>Jake Thompson</c:v>
                </c:pt>
                <c:pt idx="10">
                  <c:v>Kabir Singh</c:v>
                </c:pt>
                <c:pt idx="11">
                  <c:v>Liam O'Brien</c:v>
                </c:pt>
                <c:pt idx="12">
                  <c:v>Mohit Rao</c:v>
                </c:pt>
                <c:pt idx="13">
                  <c:v>Nathan Reid</c:v>
                </c:pt>
                <c:pt idx="14">
                  <c:v>Omar Farooq</c:v>
                </c:pt>
                <c:pt idx="15">
                  <c:v>Priya Nair</c:v>
                </c:pt>
                <c:pt idx="16">
                  <c:v>Quinton Davies</c:v>
                </c:pt>
                <c:pt idx="17">
                  <c:v>Rahul Mehta</c:v>
                </c:pt>
                <c:pt idx="18">
                  <c:v>Sam Walker</c:v>
                </c:pt>
                <c:pt idx="19">
                  <c:v>Tariq Aziz</c:v>
                </c:pt>
              </c:strCache>
            </c:strRef>
          </c:cat>
          <c:val>
            <c:numRef>
              <c:f>Sheet3!$B$4:$B$24</c:f>
              <c:numCache>
                <c:formatCode>General</c:formatCode>
                <c:ptCount val="20"/>
                <c:pt idx="0">
                  <c:v>45</c:v>
                </c:pt>
                <c:pt idx="1">
                  <c:v>52</c:v>
                </c:pt>
                <c:pt idx="2">
                  <c:v>48</c:v>
                </c:pt>
                <c:pt idx="3">
                  <c:v>60</c:v>
                </c:pt>
                <c:pt idx="4">
                  <c:v>55</c:v>
                </c:pt>
                <c:pt idx="5">
                  <c:v>58</c:v>
                </c:pt>
                <c:pt idx="6">
                  <c:v>50</c:v>
                </c:pt>
                <c:pt idx="7">
                  <c:v>47</c:v>
                </c:pt>
                <c:pt idx="8">
                  <c:v>62</c:v>
                </c:pt>
                <c:pt idx="9">
                  <c:v>53</c:v>
                </c:pt>
                <c:pt idx="10">
                  <c:v>44</c:v>
                </c:pt>
                <c:pt idx="11">
                  <c:v>59</c:v>
                </c:pt>
                <c:pt idx="12">
                  <c:v>51</c:v>
                </c:pt>
                <c:pt idx="13">
                  <c:v>57</c:v>
                </c:pt>
                <c:pt idx="14">
                  <c:v>49</c:v>
                </c:pt>
                <c:pt idx="15">
                  <c:v>46</c:v>
                </c:pt>
                <c:pt idx="16">
                  <c:v>54</c:v>
                </c:pt>
                <c:pt idx="17">
                  <c:v>61</c:v>
                </c:pt>
                <c:pt idx="18">
                  <c:v>43</c:v>
                </c:pt>
                <c:pt idx="1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0-441C-A726-27150CA07689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Balls Faced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Sheet3!$A$4:$A$24</c:f>
              <c:strCache>
                <c:ptCount val="20"/>
                <c:pt idx="0">
                  <c:v>Aarav Sharma</c:v>
                </c:pt>
                <c:pt idx="1">
                  <c:v>Ben Carter</c:v>
                </c:pt>
                <c:pt idx="2">
                  <c:v>Carlos Mendes</c:v>
                </c:pt>
                <c:pt idx="3">
                  <c:v>Daniel Okoye</c:v>
                </c:pt>
                <c:pt idx="4">
                  <c:v>Eshan Verma</c:v>
                </c:pt>
                <c:pt idx="5">
                  <c:v>Farhan Khan</c:v>
                </c:pt>
                <c:pt idx="6">
                  <c:v>George Wilson</c:v>
                </c:pt>
                <c:pt idx="7">
                  <c:v>Hamza Sheikh</c:v>
                </c:pt>
                <c:pt idx="8">
                  <c:v>Ishaan Patel</c:v>
                </c:pt>
                <c:pt idx="9">
                  <c:v>Jake Thompson</c:v>
                </c:pt>
                <c:pt idx="10">
                  <c:v>Kabir Singh</c:v>
                </c:pt>
                <c:pt idx="11">
                  <c:v>Liam O'Brien</c:v>
                </c:pt>
                <c:pt idx="12">
                  <c:v>Mohit Rao</c:v>
                </c:pt>
                <c:pt idx="13">
                  <c:v>Nathan Reid</c:v>
                </c:pt>
                <c:pt idx="14">
                  <c:v>Omar Farooq</c:v>
                </c:pt>
                <c:pt idx="15">
                  <c:v>Priya Nair</c:v>
                </c:pt>
                <c:pt idx="16">
                  <c:v>Quinton Davies</c:v>
                </c:pt>
                <c:pt idx="17">
                  <c:v>Rahul Mehta</c:v>
                </c:pt>
                <c:pt idx="18">
                  <c:v>Sam Walker</c:v>
                </c:pt>
                <c:pt idx="19">
                  <c:v>Tariq Aziz</c:v>
                </c:pt>
              </c:strCache>
            </c:strRef>
          </c:cat>
          <c:val>
            <c:numRef>
              <c:f>Sheet3!$C$4:$C$24</c:f>
              <c:numCache>
                <c:formatCode>General</c:formatCode>
                <c:ptCount val="20"/>
                <c:pt idx="0">
                  <c:v>201</c:v>
                </c:pt>
                <c:pt idx="1">
                  <c:v>210</c:v>
                </c:pt>
                <c:pt idx="2">
                  <c:v>180</c:v>
                </c:pt>
                <c:pt idx="3">
                  <c:v>400</c:v>
                </c:pt>
                <c:pt idx="4">
                  <c:v>205</c:v>
                </c:pt>
                <c:pt idx="5">
                  <c:v>355</c:v>
                </c:pt>
                <c:pt idx="6">
                  <c:v>160</c:v>
                </c:pt>
                <c:pt idx="7">
                  <c:v>190</c:v>
                </c:pt>
                <c:pt idx="8">
                  <c:v>420</c:v>
                </c:pt>
                <c:pt idx="9">
                  <c:v>170</c:v>
                </c:pt>
                <c:pt idx="10">
                  <c:v>198</c:v>
                </c:pt>
                <c:pt idx="11">
                  <c:v>380</c:v>
                </c:pt>
                <c:pt idx="12">
                  <c:v>188</c:v>
                </c:pt>
                <c:pt idx="13">
                  <c:v>410</c:v>
                </c:pt>
                <c:pt idx="14">
                  <c:v>165</c:v>
                </c:pt>
                <c:pt idx="15">
                  <c:v>178</c:v>
                </c:pt>
                <c:pt idx="16">
                  <c:v>195</c:v>
                </c:pt>
                <c:pt idx="17">
                  <c:v>395</c:v>
                </c:pt>
                <c:pt idx="18">
                  <c:v>182</c:v>
                </c:pt>
                <c:pt idx="19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80-441C-A726-27150CA07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9386400"/>
        <c:axId val="1119374336"/>
      </c:barChart>
      <c:catAx>
        <c:axId val="1119386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374336"/>
        <c:crosses val="autoZero"/>
        <c:auto val="1"/>
        <c:lblAlgn val="ctr"/>
        <c:lblOffset val="100"/>
        <c:noMultiLvlLbl val="0"/>
      </c:catAx>
      <c:valAx>
        <c:axId val="111937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38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63003455503315"/>
          <c:y val="0.28157701339964081"/>
          <c:w val="0.27538435393417549"/>
          <c:h val="0.491438596491228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[cricket_player_stats.maddy.xlsx]Sheet4!PivotTable4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8025371828521428E-2"/>
          <c:y val="0.15175707203266259"/>
          <c:w val="0.57413560804899388"/>
          <c:h val="0.345760425780110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Matches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Sheet4!$A$4:$A$44</c:f>
              <c:multiLvlStrCache>
                <c:ptCount val="20"/>
                <c:lvl>
                  <c:pt idx="0">
                    <c:v>Batsman</c:v>
                  </c:pt>
                  <c:pt idx="1">
                    <c:v>Batsman</c:v>
                  </c:pt>
                  <c:pt idx="2">
                    <c:v>All-rounder</c:v>
                  </c:pt>
                  <c:pt idx="3">
                    <c:v>Bowler</c:v>
                  </c:pt>
                  <c:pt idx="4">
                    <c:v>Wicketkeeper</c:v>
                  </c:pt>
                  <c:pt idx="5">
                    <c:v>Bowler</c:v>
                  </c:pt>
                  <c:pt idx="6">
                    <c:v>All-rounder</c:v>
                  </c:pt>
                  <c:pt idx="7">
                    <c:v>Batsman</c:v>
                  </c:pt>
                  <c:pt idx="8">
                    <c:v>Bowler</c:v>
                  </c:pt>
                  <c:pt idx="9">
                    <c:v>All-rounder</c:v>
                  </c:pt>
                  <c:pt idx="10">
                    <c:v>Batsman</c:v>
                  </c:pt>
                  <c:pt idx="11">
                    <c:v>Bowler</c:v>
                  </c:pt>
                  <c:pt idx="12">
                    <c:v>Wicketkeeper</c:v>
                  </c:pt>
                  <c:pt idx="13">
                    <c:v>Bowler</c:v>
                  </c:pt>
                  <c:pt idx="14">
                    <c:v>All-rounder</c:v>
                  </c:pt>
                  <c:pt idx="15">
                    <c:v>Batsman</c:v>
                  </c:pt>
                  <c:pt idx="16">
                    <c:v>Wicketkeeper</c:v>
                  </c:pt>
                  <c:pt idx="17">
                    <c:v>Bowler</c:v>
                  </c:pt>
                  <c:pt idx="18">
                    <c:v>Batsman</c:v>
                  </c:pt>
                  <c:pt idx="19">
                    <c:v>Bowler</c:v>
                  </c:pt>
                </c:lvl>
                <c:lvl>
                  <c:pt idx="0">
                    <c:v>Aarav Sharma</c:v>
                  </c:pt>
                  <c:pt idx="1">
                    <c:v>Ben Carter</c:v>
                  </c:pt>
                  <c:pt idx="2">
                    <c:v>Carlos Mendes</c:v>
                  </c:pt>
                  <c:pt idx="3">
                    <c:v>Daniel Okoye</c:v>
                  </c:pt>
                  <c:pt idx="4">
                    <c:v>Eshan Verma</c:v>
                  </c:pt>
                  <c:pt idx="5">
                    <c:v>Farhan Khan</c:v>
                  </c:pt>
                  <c:pt idx="6">
                    <c:v>George Wilson</c:v>
                  </c:pt>
                  <c:pt idx="7">
                    <c:v>Hamza Sheikh</c:v>
                  </c:pt>
                  <c:pt idx="8">
                    <c:v>Ishaan Patel</c:v>
                  </c:pt>
                  <c:pt idx="9">
                    <c:v>Jake Thompson</c:v>
                  </c:pt>
                  <c:pt idx="10">
                    <c:v>Kabir Singh</c:v>
                  </c:pt>
                  <c:pt idx="11">
                    <c:v>Liam O'Brien</c:v>
                  </c:pt>
                  <c:pt idx="12">
                    <c:v>Mohit Rao</c:v>
                  </c:pt>
                  <c:pt idx="13">
                    <c:v>Nathan Reid</c:v>
                  </c:pt>
                  <c:pt idx="14">
                    <c:v>Omar Farooq</c:v>
                  </c:pt>
                  <c:pt idx="15">
                    <c:v>Priya Nair</c:v>
                  </c:pt>
                  <c:pt idx="16">
                    <c:v>Quinton Davies</c:v>
                  </c:pt>
                  <c:pt idx="17">
                    <c:v>Rahul Mehta</c:v>
                  </c:pt>
                  <c:pt idx="18">
                    <c:v>Sam Walker</c:v>
                  </c:pt>
                  <c:pt idx="19">
                    <c:v>Tariq Aziz</c:v>
                  </c:pt>
                </c:lvl>
              </c:multiLvlStrCache>
            </c:multiLvlStrRef>
          </c:cat>
          <c:val>
            <c:numRef>
              <c:f>Sheet4!$B$4:$B$44</c:f>
              <c:numCache>
                <c:formatCode>General</c:formatCode>
                <c:ptCount val="20"/>
                <c:pt idx="0">
                  <c:v>45</c:v>
                </c:pt>
                <c:pt idx="1">
                  <c:v>52</c:v>
                </c:pt>
                <c:pt idx="2">
                  <c:v>48</c:v>
                </c:pt>
                <c:pt idx="3">
                  <c:v>60</c:v>
                </c:pt>
                <c:pt idx="4">
                  <c:v>55</c:v>
                </c:pt>
                <c:pt idx="5">
                  <c:v>58</c:v>
                </c:pt>
                <c:pt idx="6">
                  <c:v>50</c:v>
                </c:pt>
                <c:pt idx="7">
                  <c:v>47</c:v>
                </c:pt>
                <c:pt idx="8">
                  <c:v>62</c:v>
                </c:pt>
                <c:pt idx="9">
                  <c:v>53</c:v>
                </c:pt>
                <c:pt idx="10">
                  <c:v>44</c:v>
                </c:pt>
                <c:pt idx="11">
                  <c:v>59</c:v>
                </c:pt>
                <c:pt idx="12">
                  <c:v>51</c:v>
                </c:pt>
                <c:pt idx="13">
                  <c:v>57</c:v>
                </c:pt>
                <c:pt idx="14">
                  <c:v>49</c:v>
                </c:pt>
                <c:pt idx="15">
                  <c:v>46</c:v>
                </c:pt>
                <c:pt idx="16">
                  <c:v>54</c:v>
                </c:pt>
                <c:pt idx="17">
                  <c:v>61</c:v>
                </c:pt>
                <c:pt idx="18">
                  <c:v>43</c:v>
                </c:pt>
                <c:pt idx="1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8-4180-80A2-012D81AD4EDE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Runs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Sheet4!$A$4:$A$44</c:f>
              <c:multiLvlStrCache>
                <c:ptCount val="20"/>
                <c:lvl>
                  <c:pt idx="0">
                    <c:v>Batsman</c:v>
                  </c:pt>
                  <c:pt idx="1">
                    <c:v>Batsman</c:v>
                  </c:pt>
                  <c:pt idx="2">
                    <c:v>All-rounder</c:v>
                  </c:pt>
                  <c:pt idx="3">
                    <c:v>Bowler</c:v>
                  </c:pt>
                  <c:pt idx="4">
                    <c:v>Wicketkeeper</c:v>
                  </c:pt>
                  <c:pt idx="5">
                    <c:v>Bowler</c:v>
                  </c:pt>
                  <c:pt idx="6">
                    <c:v>All-rounder</c:v>
                  </c:pt>
                  <c:pt idx="7">
                    <c:v>Batsman</c:v>
                  </c:pt>
                  <c:pt idx="8">
                    <c:v>Bowler</c:v>
                  </c:pt>
                  <c:pt idx="9">
                    <c:v>All-rounder</c:v>
                  </c:pt>
                  <c:pt idx="10">
                    <c:v>Batsman</c:v>
                  </c:pt>
                  <c:pt idx="11">
                    <c:v>Bowler</c:v>
                  </c:pt>
                  <c:pt idx="12">
                    <c:v>Wicketkeeper</c:v>
                  </c:pt>
                  <c:pt idx="13">
                    <c:v>Bowler</c:v>
                  </c:pt>
                  <c:pt idx="14">
                    <c:v>All-rounder</c:v>
                  </c:pt>
                  <c:pt idx="15">
                    <c:v>Batsman</c:v>
                  </c:pt>
                  <c:pt idx="16">
                    <c:v>Wicketkeeper</c:v>
                  </c:pt>
                  <c:pt idx="17">
                    <c:v>Bowler</c:v>
                  </c:pt>
                  <c:pt idx="18">
                    <c:v>Batsman</c:v>
                  </c:pt>
                  <c:pt idx="19">
                    <c:v>Bowler</c:v>
                  </c:pt>
                </c:lvl>
                <c:lvl>
                  <c:pt idx="0">
                    <c:v>Aarav Sharma</c:v>
                  </c:pt>
                  <c:pt idx="1">
                    <c:v>Ben Carter</c:v>
                  </c:pt>
                  <c:pt idx="2">
                    <c:v>Carlos Mendes</c:v>
                  </c:pt>
                  <c:pt idx="3">
                    <c:v>Daniel Okoye</c:v>
                  </c:pt>
                  <c:pt idx="4">
                    <c:v>Eshan Verma</c:v>
                  </c:pt>
                  <c:pt idx="5">
                    <c:v>Farhan Khan</c:v>
                  </c:pt>
                  <c:pt idx="6">
                    <c:v>George Wilson</c:v>
                  </c:pt>
                  <c:pt idx="7">
                    <c:v>Hamza Sheikh</c:v>
                  </c:pt>
                  <c:pt idx="8">
                    <c:v>Ishaan Patel</c:v>
                  </c:pt>
                  <c:pt idx="9">
                    <c:v>Jake Thompson</c:v>
                  </c:pt>
                  <c:pt idx="10">
                    <c:v>Kabir Singh</c:v>
                  </c:pt>
                  <c:pt idx="11">
                    <c:v>Liam O'Brien</c:v>
                  </c:pt>
                  <c:pt idx="12">
                    <c:v>Mohit Rao</c:v>
                  </c:pt>
                  <c:pt idx="13">
                    <c:v>Nathan Reid</c:v>
                  </c:pt>
                  <c:pt idx="14">
                    <c:v>Omar Farooq</c:v>
                  </c:pt>
                  <c:pt idx="15">
                    <c:v>Priya Nair</c:v>
                  </c:pt>
                  <c:pt idx="16">
                    <c:v>Quinton Davies</c:v>
                  </c:pt>
                  <c:pt idx="17">
                    <c:v>Rahul Mehta</c:v>
                  </c:pt>
                  <c:pt idx="18">
                    <c:v>Sam Walker</c:v>
                  </c:pt>
                  <c:pt idx="19">
                    <c:v>Tariq Aziz</c:v>
                  </c:pt>
                </c:lvl>
              </c:multiLvlStrCache>
            </c:multiLvlStrRef>
          </c:cat>
          <c:val>
            <c:numRef>
              <c:f>Sheet4!$C$4:$C$44</c:f>
              <c:numCache>
                <c:formatCode>General</c:formatCode>
                <c:ptCount val="20"/>
                <c:pt idx="0">
                  <c:v>1620</c:v>
                </c:pt>
                <c:pt idx="1">
                  <c:v>1890</c:v>
                </c:pt>
                <c:pt idx="2">
                  <c:v>1340</c:v>
                </c:pt>
                <c:pt idx="3">
                  <c:v>210</c:v>
                </c:pt>
                <c:pt idx="4">
                  <c:v>1750</c:v>
                </c:pt>
                <c:pt idx="5">
                  <c:v>180</c:v>
                </c:pt>
                <c:pt idx="6">
                  <c:v>1200</c:v>
                </c:pt>
                <c:pt idx="7">
                  <c:v>1580</c:v>
                </c:pt>
                <c:pt idx="8">
                  <c:v>190</c:v>
                </c:pt>
                <c:pt idx="9">
                  <c:v>1410</c:v>
                </c:pt>
                <c:pt idx="10">
                  <c:v>1500</c:v>
                </c:pt>
                <c:pt idx="11">
                  <c:v>150</c:v>
                </c:pt>
                <c:pt idx="12">
                  <c:v>1620</c:v>
                </c:pt>
                <c:pt idx="13">
                  <c:v>200</c:v>
                </c:pt>
                <c:pt idx="14">
                  <c:v>1280</c:v>
                </c:pt>
                <c:pt idx="15">
                  <c:v>1490</c:v>
                </c:pt>
                <c:pt idx="16">
                  <c:v>1700</c:v>
                </c:pt>
                <c:pt idx="17">
                  <c:v>170</c:v>
                </c:pt>
                <c:pt idx="18">
                  <c:v>1380</c:v>
                </c:pt>
                <c:pt idx="19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8-4180-80A2-012D81AD4EDE}"/>
            </c:ext>
          </c:extLst>
        </c:ser>
        <c:ser>
          <c:idx val="2"/>
          <c:order val="2"/>
          <c:tx>
            <c:strRef>
              <c:f>Sheet4!$D$3</c:f>
              <c:strCache>
                <c:ptCount val="1"/>
                <c:pt idx="0">
                  <c:v>Sum of Wickets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Sheet4!$A$4:$A$44</c:f>
              <c:multiLvlStrCache>
                <c:ptCount val="20"/>
                <c:lvl>
                  <c:pt idx="0">
                    <c:v>Batsman</c:v>
                  </c:pt>
                  <c:pt idx="1">
                    <c:v>Batsman</c:v>
                  </c:pt>
                  <c:pt idx="2">
                    <c:v>All-rounder</c:v>
                  </c:pt>
                  <c:pt idx="3">
                    <c:v>Bowler</c:v>
                  </c:pt>
                  <c:pt idx="4">
                    <c:v>Wicketkeeper</c:v>
                  </c:pt>
                  <c:pt idx="5">
                    <c:v>Bowler</c:v>
                  </c:pt>
                  <c:pt idx="6">
                    <c:v>All-rounder</c:v>
                  </c:pt>
                  <c:pt idx="7">
                    <c:v>Batsman</c:v>
                  </c:pt>
                  <c:pt idx="8">
                    <c:v>Bowler</c:v>
                  </c:pt>
                  <c:pt idx="9">
                    <c:v>All-rounder</c:v>
                  </c:pt>
                  <c:pt idx="10">
                    <c:v>Batsman</c:v>
                  </c:pt>
                  <c:pt idx="11">
                    <c:v>Bowler</c:v>
                  </c:pt>
                  <c:pt idx="12">
                    <c:v>Wicketkeeper</c:v>
                  </c:pt>
                  <c:pt idx="13">
                    <c:v>Bowler</c:v>
                  </c:pt>
                  <c:pt idx="14">
                    <c:v>All-rounder</c:v>
                  </c:pt>
                  <c:pt idx="15">
                    <c:v>Batsman</c:v>
                  </c:pt>
                  <c:pt idx="16">
                    <c:v>Wicketkeeper</c:v>
                  </c:pt>
                  <c:pt idx="17">
                    <c:v>Bowler</c:v>
                  </c:pt>
                  <c:pt idx="18">
                    <c:v>Batsman</c:v>
                  </c:pt>
                  <c:pt idx="19">
                    <c:v>Bowler</c:v>
                  </c:pt>
                </c:lvl>
                <c:lvl>
                  <c:pt idx="0">
                    <c:v>Aarav Sharma</c:v>
                  </c:pt>
                  <c:pt idx="1">
                    <c:v>Ben Carter</c:v>
                  </c:pt>
                  <c:pt idx="2">
                    <c:v>Carlos Mendes</c:v>
                  </c:pt>
                  <c:pt idx="3">
                    <c:v>Daniel Okoye</c:v>
                  </c:pt>
                  <c:pt idx="4">
                    <c:v>Eshan Verma</c:v>
                  </c:pt>
                  <c:pt idx="5">
                    <c:v>Farhan Khan</c:v>
                  </c:pt>
                  <c:pt idx="6">
                    <c:v>George Wilson</c:v>
                  </c:pt>
                  <c:pt idx="7">
                    <c:v>Hamza Sheikh</c:v>
                  </c:pt>
                  <c:pt idx="8">
                    <c:v>Ishaan Patel</c:v>
                  </c:pt>
                  <c:pt idx="9">
                    <c:v>Jake Thompson</c:v>
                  </c:pt>
                  <c:pt idx="10">
                    <c:v>Kabir Singh</c:v>
                  </c:pt>
                  <c:pt idx="11">
                    <c:v>Liam O'Brien</c:v>
                  </c:pt>
                  <c:pt idx="12">
                    <c:v>Mohit Rao</c:v>
                  </c:pt>
                  <c:pt idx="13">
                    <c:v>Nathan Reid</c:v>
                  </c:pt>
                  <c:pt idx="14">
                    <c:v>Omar Farooq</c:v>
                  </c:pt>
                  <c:pt idx="15">
                    <c:v>Priya Nair</c:v>
                  </c:pt>
                  <c:pt idx="16">
                    <c:v>Quinton Davies</c:v>
                  </c:pt>
                  <c:pt idx="17">
                    <c:v>Rahul Mehta</c:v>
                  </c:pt>
                  <c:pt idx="18">
                    <c:v>Sam Walker</c:v>
                  </c:pt>
                  <c:pt idx="19">
                    <c:v>Tariq Aziz</c:v>
                  </c:pt>
                </c:lvl>
              </c:multiLvlStrCache>
            </c:multiLvlStrRef>
          </c:cat>
          <c:val>
            <c:numRef>
              <c:f>Sheet4!$D$4:$D$44</c:f>
              <c:numCache>
                <c:formatCode>General</c:formatCode>
                <c:ptCount val="20"/>
                <c:pt idx="0">
                  <c:v>38</c:v>
                </c:pt>
                <c:pt idx="1">
                  <c:v>29</c:v>
                </c:pt>
                <c:pt idx="2">
                  <c:v>33</c:v>
                </c:pt>
                <c:pt idx="3">
                  <c:v>15</c:v>
                </c:pt>
                <c:pt idx="4">
                  <c:v>42</c:v>
                </c:pt>
                <c:pt idx="5">
                  <c:v>8</c:v>
                </c:pt>
                <c:pt idx="6">
                  <c:v>36</c:v>
                </c:pt>
                <c:pt idx="7">
                  <c:v>40</c:v>
                </c:pt>
                <c:pt idx="8">
                  <c:v>12</c:v>
                </c:pt>
                <c:pt idx="9">
                  <c:v>31</c:v>
                </c:pt>
                <c:pt idx="10">
                  <c:v>37</c:v>
                </c:pt>
                <c:pt idx="11">
                  <c:v>10</c:v>
                </c:pt>
                <c:pt idx="12">
                  <c:v>39</c:v>
                </c:pt>
                <c:pt idx="13">
                  <c:v>11</c:v>
                </c:pt>
                <c:pt idx="14">
                  <c:v>34</c:v>
                </c:pt>
                <c:pt idx="15">
                  <c:v>35</c:v>
                </c:pt>
                <c:pt idx="16">
                  <c:v>41</c:v>
                </c:pt>
                <c:pt idx="17">
                  <c:v>9</c:v>
                </c:pt>
                <c:pt idx="18">
                  <c:v>32</c:v>
                </c:pt>
                <c:pt idx="1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E8-4180-80A2-012D81AD4EDE}"/>
            </c:ext>
          </c:extLst>
        </c:ser>
        <c:ser>
          <c:idx val="3"/>
          <c:order val="3"/>
          <c:tx>
            <c:strRef>
              <c:f>Sheet4!$E$3</c:f>
              <c:strCache>
                <c:ptCount val="1"/>
                <c:pt idx="0">
                  <c:v>Sum of Batting Average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Sheet4!$A$4:$A$44</c:f>
              <c:multiLvlStrCache>
                <c:ptCount val="20"/>
                <c:lvl>
                  <c:pt idx="0">
                    <c:v>Batsman</c:v>
                  </c:pt>
                  <c:pt idx="1">
                    <c:v>Batsman</c:v>
                  </c:pt>
                  <c:pt idx="2">
                    <c:v>All-rounder</c:v>
                  </c:pt>
                  <c:pt idx="3">
                    <c:v>Bowler</c:v>
                  </c:pt>
                  <c:pt idx="4">
                    <c:v>Wicketkeeper</c:v>
                  </c:pt>
                  <c:pt idx="5">
                    <c:v>Bowler</c:v>
                  </c:pt>
                  <c:pt idx="6">
                    <c:v>All-rounder</c:v>
                  </c:pt>
                  <c:pt idx="7">
                    <c:v>Batsman</c:v>
                  </c:pt>
                  <c:pt idx="8">
                    <c:v>Bowler</c:v>
                  </c:pt>
                  <c:pt idx="9">
                    <c:v>All-rounder</c:v>
                  </c:pt>
                  <c:pt idx="10">
                    <c:v>Batsman</c:v>
                  </c:pt>
                  <c:pt idx="11">
                    <c:v>Bowler</c:v>
                  </c:pt>
                  <c:pt idx="12">
                    <c:v>Wicketkeeper</c:v>
                  </c:pt>
                  <c:pt idx="13">
                    <c:v>Bowler</c:v>
                  </c:pt>
                  <c:pt idx="14">
                    <c:v>All-rounder</c:v>
                  </c:pt>
                  <c:pt idx="15">
                    <c:v>Batsman</c:v>
                  </c:pt>
                  <c:pt idx="16">
                    <c:v>Wicketkeeper</c:v>
                  </c:pt>
                  <c:pt idx="17">
                    <c:v>Bowler</c:v>
                  </c:pt>
                  <c:pt idx="18">
                    <c:v>Batsman</c:v>
                  </c:pt>
                  <c:pt idx="19">
                    <c:v>Bowler</c:v>
                  </c:pt>
                </c:lvl>
                <c:lvl>
                  <c:pt idx="0">
                    <c:v>Aarav Sharma</c:v>
                  </c:pt>
                  <c:pt idx="1">
                    <c:v>Ben Carter</c:v>
                  </c:pt>
                  <c:pt idx="2">
                    <c:v>Carlos Mendes</c:v>
                  </c:pt>
                  <c:pt idx="3">
                    <c:v>Daniel Okoye</c:v>
                  </c:pt>
                  <c:pt idx="4">
                    <c:v>Eshan Verma</c:v>
                  </c:pt>
                  <c:pt idx="5">
                    <c:v>Farhan Khan</c:v>
                  </c:pt>
                  <c:pt idx="6">
                    <c:v>George Wilson</c:v>
                  </c:pt>
                  <c:pt idx="7">
                    <c:v>Hamza Sheikh</c:v>
                  </c:pt>
                  <c:pt idx="8">
                    <c:v>Ishaan Patel</c:v>
                  </c:pt>
                  <c:pt idx="9">
                    <c:v>Jake Thompson</c:v>
                  </c:pt>
                  <c:pt idx="10">
                    <c:v>Kabir Singh</c:v>
                  </c:pt>
                  <c:pt idx="11">
                    <c:v>Liam O'Brien</c:v>
                  </c:pt>
                  <c:pt idx="12">
                    <c:v>Mohit Rao</c:v>
                  </c:pt>
                  <c:pt idx="13">
                    <c:v>Nathan Reid</c:v>
                  </c:pt>
                  <c:pt idx="14">
                    <c:v>Omar Farooq</c:v>
                  </c:pt>
                  <c:pt idx="15">
                    <c:v>Priya Nair</c:v>
                  </c:pt>
                  <c:pt idx="16">
                    <c:v>Quinton Davies</c:v>
                  </c:pt>
                  <c:pt idx="17">
                    <c:v>Rahul Mehta</c:v>
                  </c:pt>
                  <c:pt idx="18">
                    <c:v>Sam Walker</c:v>
                  </c:pt>
                  <c:pt idx="19">
                    <c:v>Tariq Aziz</c:v>
                  </c:pt>
                </c:lvl>
              </c:multiLvlStrCache>
            </c:multiLvlStrRef>
          </c:cat>
          <c:val>
            <c:numRef>
              <c:f>Sheet4!$E$4:$E$44</c:f>
              <c:numCache>
                <c:formatCode>General</c:formatCode>
                <c:ptCount val="20"/>
                <c:pt idx="0">
                  <c:v>36</c:v>
                </c:pt>
                <c:pt idx="1">
                  <c:v>36.35</c:v>
                </c:pt>
                <c:pt idx="2">
                  <c:v>27.92</c:v>
                </c:pt>
                <c:pt idx="3">
                  <c:v>3.5</c:v>
                </c:pt>
                <c:pt idx="4">
                  <c:v>31.82</c:v>
                </c:pt>
                <c:pt idx="5">
                  <c:v>3.1</c:v>
                </c:pt>
                <c:pt idx="6">
                  <c:v>24</c:v>
                </c:pt>
                <c:pt idx="7">
                  <c:v>33.619999999999997</c:v>
                </c:pt>
                <c:pt idx="8">
                  <c:v>3.06</c:v>
                </c:pt>
                <c:pt idx="9">
                  <c:v>26.6</c:v>
                </c:pt>
                <c:pt idx="10">
                  <c:v>34.090000000000003</c:v>
                </c:pt>
                <c:pt idx="11">
                  <c:v>2.54</c:v>
                </c:pt>
                <c:pt idx="12">
                  <c:v>31.76</c:v>
                </c:pt>
                <c:pt idx="13">
                  <c:v>3.51</c:v>
                </c:pt>
                <c:pt idx="14">
                  <c:v>26.12</c:v>
                </c:pt>
                <c:pt idx="15">
                  <c:v>32.39</c:v>
                </c:pt>
                <c:pt idx="16">
                  <c:v>31.48</c:v>
                </c:pt>
                <c:pt idx="17">
                  <c:v>2.79</c:v>
                </c:pt>
                <c:pt idx="18">
                  <c:v>32.090000000000003</c:v>
                </c:pt>
                <c:pt idx="19">
                  <c:v>2.86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E8-4180-80A2-012D81AD4EDE}"/>
            </c:ext>
          </c:extLst>
        </c:ser>
        <c:ser>
          <c:idx val="4"/>
          <c:order val="4"/>
          <c:tx>
            <c:strRef>
              <c:f>Sheet4!$F$3</c:f>
              <c:strCache>
                <c:ptCount val="1"/>
                <c:pt idx="0">
                  <c:v>Sum of Strike Rate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Sheet4!$A$4:$A$44</c:f>
              <c:multiLvlStrCache>
                <c:ptCount val="20"/>
                <c:lvl>
                  <c:pt idx="0">
                    <c:v>Batsman</c:v>
                  </c:pt>
                  <c:pt idx="1">
                    <c:v>Batsman</c:v>
                  </c:pt>
                  <c:pt idx="2">
                    <c:v>All-rounder</c:v>
                  </c:pt>
                  <c:pt idx="3">
                    <c:v>Bowler</c:v>
                  </c:pt>
                  <c:pt idx="4">
                    <c:v>Wicketkeeper</c:v>
                  </c:pt>
                  <c:pt idx="5">
                    <c:v>Bowler</c:v>
                  </c:pt>
                  <c:pt idx="6">
                    <c:v>All-rounder</c:v>
                  </c:pt>
                  <c:pt idx="7">
                    <c:v>Batsman</c:v>
                  </c:pt>
                  <c:pt idx="8">
                    <c:v>Bowler</c:v>
                  </c:pt>
                  <c:pt idx="9">
                    <c:v>All-rounder</c:v>
                  </c:pt>
                  <c:pt idx="10">
                    <c:v>Batsman</c:v>
                  </c:pt>
                  <c:pt idx="11">
                    <c:v>Bowler</c:v>
                  </c:pt>
                  <c:pt idx="12">
                    <c:v>Wicketkeeper</c:v>
                  </c:pt>
                  <c:pt idx="13">
                    <c:v>Bowler</c:v>
                  </c:pt>
                  <c:pt idx="14">
                    <c:v>All-rounder</c:v>
                  </c:pt>
                  <c:pt idx="15">
                    <c:v>Batsman</c:v>
                  </c:pt>
                  <c:pt idx="16">
                    <c:v>Wicketkeeper</c:v>
                  </c:pt>
                  <c:pt idx="17">
                    <c:v>Bowler</c:v>
                  </c:pt>
                  <c:pt idx="18">
                    <c:v>Batsman</c:v>
                  </c:pt>
                  <c:pt idx="19">
                    <c:v>Bowler</c:v>
                  </c:pt>
                </c:lvl>
                <c:lvl>
                  <c:pt idx="0">
                    <c:v>Aarav Sharma</c:v>
                  </c:pt>
                  <c:pt idx="1">
                    <c:v>Ben Carter</c:v>
                  </c:pt>
                  <c:pt idx="2">
                    <c:v>Carlos Mendes</c:v>
                  </c:pt>
                  <c:pt idx="3">
                    <c:v>Daniel Okoye</c:v>
                  </c:pt>
                  <c:pt idx="4">
                    <c:v>Eshan Verma</c:v>
                  </c:pt>
                  <c:pt idx="5">
                    <c:v>Farhan Khan</c:v>
                  </c:pt>
                  <c:pt idx="6">
                    <c:v>George Wilson</c:v>
                  </c:pt>
                  <c:pt idx="7">
                    <c:v>Hamza Sheikh</c:v>
                  </c:pt>
                  <c:pt idx="8">
                    <c:v>Ishaan Patel</c:v>
                  </c:pt>
                  <c:pt idx="9">
                    <c:v>Jake Thompson</c:v>
                  </c:pt>
                  <c:pt idx="10">
                    <c:v>Kabir Singh</c:v>
                  </c:pt>
                  <c:pt idx="11">
                    <c:v>Liam O'Brien</c:v>
                  </c:pt>
                  <c:pt idx="12">
                    <c:v>Mohit Rao</c:v>
                  </c:pt>
                  <c:pt idx="13">
                    <c:v>Nathan Reid</c:v>
                  </c:pt>
                  <c:pt idx="14">
                    <c:v>Omar Farooq</c:v>
                  </c:pt>
                  <c:pt idx="15">
                    <c:v>Priya Nair</c:v>
                  </c:pt>
                  <c:pt idx="16">
                    <c:v>Quinton Davies</c:v>
                  </c:pt>
                  <c:pt idx="17">
                    <c:v>Rahul Mehta</c:v>
                  </c:pt>
                  <c:pt idx="18">
                    <c:v>Sam Walker</c:v>
                  </c:pt>
                  <c:pt idx="19">
                    <c:v>Tariq Aziz</c:v>
                  </c:pt>
                </c:lvl>
              </c:multiLvlStrCache>
            </c:multiLvlStrRef>
          </c:cat>
          <c:val>
            <c:numRef>
              <c:f>Sheet4!$F$4:$F$44</c:f>
              <c:numCache>
                <c:formatCode>General</c:formatCode>
                <c:ptCount val="20"/>
                <c:pt idx="0">
                  <c:v>805.97</c:v>
                </c:pt>
                <c:pt idx="1">
                  <c:v>900</c:v>
                </c:pt>
                <c:pt idx="2">
                  <c:v>744.44</c:v>
                </c:pt>
                <c:pt idx="3">
                  <c:v>52.5</c:v>
                </c:pt>
                <c:pt idx="4">
                  <c:v>853.66</c:v>
                </c:pt>
                <c:pt idx="5">
                  <c:v>50.7</c:v>
                </c:pt>
                <c:pt idx="6">
                  <c:v>750</c:v>
                </c:pt>
                <c:pt idx="7">
                  <c:v>831.58</c:v>
                </c:pt>
                <c:pt idx="8">
                  <c:v>45.24</c:v>
                </c:pt>
                <c:pt idx="9">
                  <c:v>829.41</c:v>
                </c:pt>
                <c:pt idx="10">
                  <c:v>757.58</c:v>
                </c:pt>
                <c:pt idx="11">
                  <c:v>39.47</c:v>
                </c:pt>
                <c:pt idx="12">
                  <c:v>861.7</c:v>
                </c:pt>
                <c:pt idx="13">
                  <c:v>48.78</c:v>
                </c:pt>
                <c:pt idx="14">
                  <c:v>775.76</c:v>
                </c:pt>
                <c:pt idx="15">
                  <c:v>837.08</c:v>
                </c:pt>
                <c:pt idx="16">
                  <c:v>871.79</c:v>
                </c:pt>
                <c:pt idx="17">
                  <c:v>43.04</c:v>
                </c:pt>
                <c:pt idx="18">
                  <c:v>758.24</c:v>
                </c:pt>
                <c:pt idx="19">
                  <c:v>43.84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E8-4180-80A2-012D81AD4EDE}"/>
            </c:ext>
          </c:extLst>
        </c:ser>
        <c:ser>
          <c:idx val="5"/>
          <c:order val="5"/>
          <c:tx>
            <c:strRef>
              <c:f>Sheet4!$G$3</c:f>
              <c:strCache>
                <c:ptCount val="1"/>
                <c:pt idx="0">
                  <c:v>Sum of 50s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Sheet4!$A$4:$A$44</c:f>
              <c:multiLvlStrCache>
                <c:ptCount val="20"/>
                <c:lvl>
                  <c:pt idx="0">
                    <c:v>Batsman</c:v>
                  </c:pt>
                  <c:pt idx="1">
                    <c:v>Batsman</c:v>
                  </c:pt>
                  <c:pt idx="2">
                    <c:v>All-rounder</c:v>
                  </c:pt>
                  <c:pt idx="3">
                    <c:v>Bowler</c:v>
                  </c:pt>
                  <c:pt idx="4">
                    <c:v>Wicketkeeper</c:v>
                  </c:pt>
                  <c:pt idx="5">
                    <c:v>Bowler</c:v>
                  </c:pt>
                  <c:pt idx="6">
                    <c:v>All-rounder</c:v>
                  </c:pt>
                  <c:pt idx="7">
                    <c:v>Batsman</c:v>
                  </c:pt>
                  <c:pt idx="8">
                    <c:v>Bowler</c:v>
                  </c:pt>
                  <c:pt idx="9">
                    <c:v>All-rounder</c:v>
                  </c:pt>
                  <c:pt idx="10">
                    <c:v>Batsman</c:v>
                  </c:pt>
                  <c:pt idx="11">
                    <c:v>Bowler</c:v>
                  </c:pt>
                  <c:pt idx="12">
                    <c:v>Wicketkeeper</c:v>
                  </c:pt>
                  <c:pt idx="13">
                    <c:v>Bowler</c:v>
                  </c:pt>
                  <c:pt idx="14">
                    <c:v>All-rounder</c:v>
                  </c:pt>
                  <c:pt idx="15">
                    <c:v>Batsman</c:v>
                  </c:pt>
                  <c:pt idx="16">
                    <c:v>Wicketkeeper</c:v>
                  </c:pt>
                  <c:pt idx="17">
                    <c:v>Bowler</c:v>
                  </c:pt>
                  <c:pt idx="18">
                    <c:v>Batsman</c:v>
                  </c:pt>
                  <c:pt idx="19">
                    <c:v>Bowler</c:v>
                  </c:pt>
                </c:lvl>
                <c:lvl>
                  <c:pt idx="0">
                    <c:v>Aarav Sharma</c:v>
                  </c:pt>
                  <c:pt idx="1">
                    <c:v>Ben Carter</c:v>
                  </c:pt>
                  <c:pt idx="2">
                    <c:v>Carlos Mendes</c:v>
                  </c:pt>
                  <c:pt idx="3">
                    <c:v>Daniel Okoye</c:v>
                  </c:pt>
                  <c:pt idx="4">
                    <c:v>Eshan Verma</c:v>
                  </c:pt>
                  <c:pt idx="5">
                    <c:v>Farhan Khan</c:v>
                  </c:pt>
                  <c:pt idx="6">
                    <c:v>George Wilson</c:v>
                  </c:pt>
                  <c:pt idx="7">
                    <c:v>Hamza Sheikh</c:v>
                  </c:pt>
                  <c:pt idx="8">
                    <c:v>Ishaan Patel</c:v>
                  </c:pt>
                  <c:pt idx="9">
                    <c:v>Jake Thompson</c:v>
                  </c:pt>
                  <c:pt idx="10">
                    <c:v>Kabir Singh</c:v>
                  </c:pt>
                  <c:pt idx="11">
                    <c:v>Liam O'Brien</c:v>
                  </c:pt>
                  <c:pt idx="12">
                    <c:v>Mohit Rao</c:v>
                  </c:pt>
                  <c:pt idx="13">
                    <c:v>Nathan Reid</c:v>
                  </c:pt>
                  <c:pt idx="14">
                    <c:v>Omar Farooq</c:v>
                  </c:pt>
                  <c:pt idx="15">
                    <c:v>Priya Nair</c:v>
                  </c:pt>
                  <c:pt idx="16">
                    <c:v>Quinton Davies</c:v>
                  </c:pt>
                  <c:pt idx="17">
                    <c:v>Rahul Mehta</c:v>
                  </c:pt>
                  <c:pt idx="18">
                    <c:v>Sam Walker</c:v>
                  </c:pt>
                  <c:pt idx="19">
                    <c:v>Tariq Aziz</c:v>
                  </c:pt>
                </c:lvl>
              </c:multiLvlStrCache>
            </c:multiLvlStrRef>
          </c:cat>
          <c:val>
            <c:numRef>
              <c:f>Sheet4!$G$4:$G$44</c:f>
              <c:numCache>
                <c:formatCode>General</c:formatCode>
                <c:ptCount val="20"/>
                <c:pt idx="0">
                  <c:v>12</c:v>
                </c:pt>
                <c:pt idx="1">
                  <c:v>10</c:v>
                </c:pt>
                <c:pt idx="2">
                  <c:v>5</c:v>
                </c:pt>
                <c:pt idx="3">
                  <c:v>0</c:v>
                </c:pt>
                <c:pt idx="4">
                  <c:v>11</c:v>
                </c:pt>
                <c:pt idx="5">
                  <c:v>0</c:v>
                </c:pt>
                <c:pt idx="6">
                  <c:v>6</c:v>
                </c:pt>
                <c:pt idx="7">
                  <c:v>9</c:v>
                </c:pt>
                <c:pt idx="8">
                  <c:v>0</c:v>
                </c:pt>
                <c:pt idx="9">
                  <c:v>7</c:v>
                </c:pt>
                <c:pt idx="10">
                  <c:v>8</c:v>
                </c:pt>
                <c:pt idx="11">
                  <c:v>0</c:v>
                </c:pt>
                <c:pt idx="12">
                  <c:v>10</c:v>
                </c:pt>
                <c:pt idx="13">
                  <c:v>0</c:v>
                </c:pt>
                <c:pt idx="14">
                  <c:v>5</c:v>
                </c:pt>
                <c:pt idx="15">
                  <c:v>8</c:v>
                </c:pt>
                <c:pt idx="16">
                  <c:v>10</c:v>
                </c:pt>
                <c:pt idx="17">
                  <c:v>0</c:v>
                </c:pt>
                <c:pt idx="18">
                  <c:v>7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E8-4180-80A2-012D81AD4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9376832"/>
        <c:axId val="1119386816"/>
      </c:barChart>
      <c:catAx>
        <c:axId val="111937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386816"/>
        <c:crosses val="autoZero"/>
        <c:auto val="1"/>
        <c:lblAlgn val="ctr"/>
        <c:lblOffset val="100"/>
        <c:noMultiLvlLbl val="0"/>
      </c:catAx>
      <c:valAx>
        <c:axId val="111938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37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image" Target="../media/image1.png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69850</xdr:rowOff>
    </xdr:from>
    <xdr:to>
      <xdr:col>11</xdr:col>
      <xdr:colOff>482600</xdr:colOff>
      <xdr:row>17</xdr:row>
      <xdr:rowOff>146050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806450</xdr:colOff>
      <xdr:row>1</xdr:row>
      <xdr:rowOff>12700</xdr:rowOff>
    </xdr:from>
    <xdr:to>
      <xdr:col>9</xdr:col>
      <xdr:colOff>584200</xdr:colOff>
      <xdr:row>15</xdr:row>
      <xdr:rowOff>177800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717550</xdr:colOff>
      <xdr:row>0</xdr:row>
      <xdr:rowOff>0</xdr:rowOff>
    </xdr:from>
    <xdr:to>
      <xdr:col>9</xdr:col>
      <xdr:colOff>495300</xdr:colOff>
      <xdr:row>14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304800</xdr:colOff>
      <xdr:row>12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10</xdr:col>
      <xdr:colOff>508000</xdr:colOff>
      <xdr:row>6</xdr:row>
      <xdr:rowOff>45719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</xdr:row>
      <xdr:rowOff>139700</xdr:rowOff>
    </xdr:from>
    <xdr:to>
      <xdr:col>7</xdr:col>
      <xdr:colOff>12700</xdr:colOff>
      <xdr:row>26</xdr:row>
      <xdr:rowOff>69850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260350</xdr:colOff>
      <xdr:row>0</xdr:row>
      <xdr:rowOff>31750</xdr:rowOff>
    </xdr:from>
    <xdr:to>
      <xdr:col>12</xdr:col>
      <xdr:colOff>133350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82550</xdr:colOff>
      <xdr:row>10</xdr:row>
      <xdr:rowOff>25400</xdr:rowOff>
    </xdr:from>
    <xdr:to>
      <xdr:col>14</xdr:col>
      <xdr:colOff>399939</xdr:colOff>
      <xdr:row>25</xdr:row>
      <xdr:rowOff>18781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49750" y="1866900"/>
          <a:ext cx="4584589" cy="275563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565150</xdr:colOff>
      <xdr:row>0</xdr:row>
      <xdr:rowOff>6350</xdr:rowOff>
    </xdr:from>
    <xdr:to>
      <xdr:col>7</xdr:col>
      <xdr:colOff>133350</xdr:colOff>
      <xdr:row>14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05.482291898152" createdVersion="6" refreshedVersion="6" minRefreshableVersion="3" recordCount="20">
  <cacheSource type="worksheet">
    <worksheetSource ref="A3:K23" sheet="Player Stats"/>
  </cacheSource>
  <cacheFields count="11">
    <cacheField name="Player" numFmtId="0">
      <sharedItems count="20">
        <s v="Aarav Sharma"/>
        <s v="Ben Carter"/>
        <s v="Carlos Mendes"/>
        <s v="Daniel Okoye"/>
        <s v="Eshan Verma"/>
        <s v="Farhan Khan"/>
        <s v="George Wilson"/>
        <s v="Hamza Sheikh"/>
        <s v="Ishaan Patel"/>
        <s v="Jake Thompson"/>
        <s v="Kabir Singh"/>
        <s v="Liam O'Brien"/>
        <s v="Mohit Rao"/>
        <s v="Nathan Reid"/>
        <s v="Omar Farooq"/>
        <s v="Priya Nair"/>
        <s v="Quinton Davies"/>
        <s v="Rahul Mehta"/>
        <s v="Sam Walker"/>
        <s v="Tariq Aziz"/>
      </sharedItems>
    </cacheField>
    <cacheField name="Country" numFmtId="0">
      <sharedItems/>
    </cacheField>
    <cacheField name="Role" numFmtId="0">
      <sharedItems count="4">
        <s v="Batsman"/>
        <s v="All-rounder"/>
        <s v="Bowler"/>
        <s v="Wicketkeeper"/>
      </sharedItems>
    </cacheField>
    <cacheField name="Matches" numFmtId="0">
      <sharedItems containsSemiMixedTypes="0" containsString="0" containsNumber="1" containsInteger="1" minValue="43" maxValue="62"/>
    </cacheField>
    <cacheField name="Runs" numFmtId="0">
      <sharedItems containsSemiMixedTypes="0" containsString="0" containsNumber="1" containsInteger="1" minValue="150" maxValue="1890"/>
    </cacheField>
    <cacheField name="Wickets" numFmtId="0">
      <sharedItems containsSemiMixedTypes="0" containsString="0" containsNumber="1" containsInteger="1" minValue="8" maxValue="42"/>
    </cacheField>
    <cacheField name="Balls Faced" numFmtId="0">
      <sharedItems containsSemiMixedTypes="0" containsString="0" containsNumber="1" containsInteger="1" minValue="160" maxValue="420"/>
    </cacheField>
    <cacheField name="Batting Average" numFmtId="0">
      <sharedItems containsSemiMixedTypes="0" containsString="0" containsNumber="1" minValue="2.54" maxValue="36.35"/>
    </cacheField>
    <cacheField name="Strike Rate" numFmtId="0">
      <sharedItems containsSemiMixedTypes="0" containsString="0" containsNumber="1" minValue="39.47" maxValue="900"/>
    </cacheField>
    <cacheField name="50s" numFmtId="0">
      <sharedItems containsSemiMixedTypes="0" containsString="0" containsNumber="1" containsInteger="1" minValue="0" maxValue="12"/>
    </cacheField>
    <cacheField name="Highest Score" numFmtId="0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DMIN" refreshedDate="46205.486892361114" backgroundQuery="1" createdVersion="6" refreshedVersion="6" minRefreshableVersion="3" recordCount="0" supportSubquery="1" supportAdvancedDrill="1">
  <cacheSource type="external" connectionId="1"/>
  <cacheFields count="3">
    <cacheField name="[Measures].[Sum of Matches]" caption="Sum of Matches" numFmtId="0" hierarchy="13" level="32767"/>
    <cacheField name="[Measures].[Sum of Balls Faced]" caption="Sum of Balls Faced" numFmtId="0" hierarchy="14" level="32767"/>
    <cacheField name="[Range].[Player].[Player]" caption="Player" numFmtId="0" level="1">
      <sharedItems count="20">
        <s v="Aarav Sharma"/>
        <s v="Ben Carter"/>
        <s v="Carlos Mendes"/>
        <s v="Daniel Okoye"/>
        <s v="Eshan Verma"/>
        <s v="Farhan Khan"/>
        <s v="George Wilson"/>
        <s v="Hamza Sheikh"/>
        <s v="Ishaan Patel"/>
        <s v="Jake Thompson"/>
        <s v="Kabir Singh"/>
        <s v="Liam O'Brien"/>
        <s v="Mohit Rao"/>
        <s v="Nathan Reid"/>
        <s v="Omar Farooq"/>
        <s v="Priya Nair"/>
        <s v="Quinton Davies"/>
        <s v="Rahul Mehta"/>
        <s v="Sam Walker"/>
        <s v="Tariq Aziz"/>
      </sharedItems>
    </cacheField>
  </cacheFields>
  <cacheHierarchies count="15">
    <cacheHierarchy uniqueName="[Range].[Player]" caption="Player" attribute="1" defaultMemberUniqueName="[Range].[Player].[All]" allUniqueName="[Range].[Player].[All]" dimensionUniqueName="[Range]" displayFolder="" count="2" memberValueDatatype="130" unbalanced="0">
      <fieldsUsage count="2">
        <fieldUsage x="-1"/>
        <fieldUsage x="2"/>
      </fieldsUsage>
    </cacheHierarchy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Role]" caption="Role" attribute="1" defaultMemberUniqueName="[Range].[Role].[All]" allUniqueName="[Range].[Role].[All]" dimensionUniqueName="[Range]" displayFolder="" count="0" memberValueDatatype="130" unbalanced="0"/>
    <cacheHierarchy uniqueName="[Range].[Matches]" caption="Matches" attribute="1" defaultMemberUniqueName="[Range].[Matches].[All]" allUniqueName="[Range].[Matches].[All]" dimensionUniqueName="[Range]" displayFolder="" count="0" memberValueDatatype="20" unbalanced="0"/>
    <cacheHierarchy uniqueName="[Range].[Runs]" caption="Runs" attribute="1" defaultMemberUniqueName="[Range].[Runs].[All]" allUniqueName="[Range].[Runs].[All]" dimensionUniqueName="[Range]" displayFolder="" count="0" memberValueDatatype="20" unbalanced="0"/>
    <cacheHierarchy uniqueName="[Range].[Wickets]" caption="Wickets" attribute="1" defaultMemberUniqueName="[Range].[Wickets].[All]" allUniqueName="[Range].[Wickets].[All]" dimensionUniqueName="[Range]" displayFolder="" count="0" memberValueDatatype="20" unbalanced="0"/>
    <cacheHierarchy uniqueName="[Range].[Balls Faced]" caption="Balls Faced" attribute="1" defaultMemberUniqueName="[Range].[Balls Faced].[All]" allUniqueName="[Range].[Balls Faced].[All]" dimensionUniqueName="[Range]" displayFolder="" count="0" memberValueDatatype="20" unbalanced="0"/>
    <cacheHierarchy uniqueName="[Range].[Batting Average]" caption="Batting Average" attribute="1" defaultMemberUniqueName="[Range].[Batting Average].[All]" allUniqueName="[Range].[Batting Average].[All]" dimensionUniqueName="[Range]" displayFolder="" count="0" memberValueDatatype="5" unbalanced="0"/>
    <cacheHierarchy uniqueName="[Range].[Strike Rate]" caption="Strike Rate" attribute="1" defaultMemberUniqueName="[Range].[Strike Rate].[All]" allUniqueName="[Range].[Strike Rate].[All]" dimensionUniqueName="[Range]" displayFolder="" count="0" memberValueDatatype="5" unbalanced="0"/>
    <cacheHierarchy uniqueName="[Range].[50s]" caption="50s" attribute="1" defaultMemberUniqueName="[Range].[50s].[All]" allUniqueName="[Range].[50s].[All]" dimensionUniqueName="[Range]" displayFolder="" count="0" memberValueDatatype="20" unbalanced="0"/>
    <cacheHierarchy uniqueName="[Range].[Highest Score]" caption="Highest Score" attribute="1" defaultMemberUniqueName="[Range].[Highest Score].[All]" allUniqueName="[Range].[Highest Scor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Matches]" caption="Sum of Match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Balls Faced]" caption="Sum of Balls Face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s v="India"/>
    <x v="0"/>
    <n v="45"/>
    <n v="1620"/>
    <n v="38"/>
    <n v="201"/>
    <n v="36"/>
    <n v="805.97"/>
    <n v="12"/>
    <n v="9"/>
  </r>
  <r>
    <x v="1"/>
    <s v="Australia"/>
    <x v="0"/>
    <n v="52"/>
    <n v="1890"/>
    <n v="29"/>
    <n v="210"/>
    <n v="36.35"/>
    <n v="900"/>
    <n v="10"/>
    <n v="8"/>
  </r>
  <r>
    <x v="2"/>
    <s v="South Africa"/>
    <x v="1"/>
    <n v="48"/>
    <n v="1340"/>
    <n v="33"/>
    <n v="180"/>
    <n v="27.92"/>
    <n v="744.44"/>
    <n v="5"/>
    <n v="7"/>
  </r>
  <r>
    <x v="3"/>
    <s v="England"/>
    <x v="2"/>
    <n v="60"/>
    <n v="210"/>
    <n v="15"/>
    <n v="400"/>
    <n v="3.5"/>
    <n v="52.5"/>
    <n v="0"/>
    <n v="0"/>
  </r>
  <r>
    <x v="4"/>
    <s v="India"/>
    <x v="3"/>
    <n v="55"/>
    <n v="1750"/>
    <n v="42"/>
    <n v="205"/>
    <n v="31.82"/>
    <n v="853.66"/>
    <n v="11"/>
    <n v="9"/>
  </r>
  <r>
    <x v="5"/>
    <s v="Pakistan"/>
    <x v="2"/>
    <n v="58"/>
    <n v="180"/>
    <n v="8"/>
    <n v="355"/>
    <n v="3.1"/>
    <n v="50.7"/>
    <n v="0"/>
    <n v="0"/>
  </r>
  <r>
    <x v="6"/>
    <s v="England"/>
    <x v="1"/>
    <n v="50"/>
    <n v="1200"/>
    <n v="36"/>
    <n v="160"/>
    <n v="24"/>
    <n v="750"/>
    <n v="6"/>
    <n v="6"/>
  </r>
  <r>
    <x v="7"/>
    <s v="Pakistan"/>
    <x v="0"/>
    <n v="47"/>
    <n v="1580"/>
    <n v="40"/>
    <n v="190"/>
    <n v="33.619999999999997"/>
    <n v="831.58"/>
    <n v="9"/>
    <n v="8"/>
  </r>
  <r>
    <x v="8"/>
    <s v="India"/>
    <x v="2"/>
    <n v="62"/>
    <n v="190"/>
    <n v="12"/>
    <n v="420"/>
    <n v="3.06"/>
    <n v="45.24"/>
    <n v="0"/>
    <n v="0"/>
  </r>
  <r>
    <x v="9"/>
    <s v="Australia"/>
    <x v="1"/>
    <n v="53"/>
    <n v="1410"/>
    <n v="31"/>
    <n v="170"/>
    <n v="26.6"/>
    <n v="829.41"/>
    <n v="7"/>
    <n v="7"/>
  </r>
  <r>
    <x v="10"/>
    <s v="India"/>
    <x v="0"/>
    <n v="44"/>
    <n v="1500"/>
    <n v="37"/>
    <n v="198"/>
    <n v="34.090000000000003"/>
    <n v="757.58"/>
    <n v="8"/>
    <n v="9"/>
  </r>
  <r>
    <x v="11"/>
    <s v="England"/>
    <x v="2"/>
    <n v="59"/>
    <n v="150"/>
    <n v="10"/>
    <n v="380"/>
    <n v="2.54"/>
    <n v="39.47"/>
    <n v="0"/>
    <n v="0"/>
  </r>
  <r>
    <x v="12"/>
    <s v="India"/>
    <x v="3"/>
    <n v="51"/>
    <n v="1620"/>
    <n v="39"/>
    <n v="188"/>
    <n v="31.76"/>
    <n v="861.7"/>
    <n v="10"/>
    <n v="8"/>
  </r>
  <r>
    <x v="13"/>
    <s v="Australia"/>
    <x v="2"/>
    <n v="57"/>
    <n v="200"/>
    <n v="11"/>
    <n v="410"/>
    <n v="3.51"/>
    <n v="48.78"/>
    <n v="0"/>
    <n v="0"/>
  </r>
  <r>
    <x v="14"/>
    <s v="Pakistan"/>
    <x v="1"/>
    <n v="49"/>
    <n v="1280"/>
    <n v="34"/>
    <n v="165"/>
    <n v="26.12"/>
    <n v="775.76"/>
    <n v="5"/>
    <n v="6"/>
  </r>
  <r>
    <x v="15"/>
    <s v="India"/>
    <x v="0"/>
    <n v="46"/>
    <n v="1490"/>
    <n v="35"/>
    <n v="178"/>
    <n v="32.39"/>
    <n v="837.08"/>
    <n v="8"/>
    <n v="7"/>
  </r>
  <r>
    <x v="16"/>
    <s v="South Africa"/>
    <x v="3"/>
    <n v="54"/>
    <n v="1700"/>
    <n v="41"/>
    <n v="195"/>
    <n v="31.48"/>
    <n v="871.79"/>
    <n v="10"/>
    <n v="9"/>
  </r>
  <r>
    <x v="17"/>
    <s v="India"/>
    <x v="2"/>
    <n v="61"/>
    <n v="170"/>
    <n v="9"/>
    <n v="395"/>
    <n v="2.79"/>
    <n v="43.04"/>
    <n v="0"/>
    <n v="0"/>
  </r>
  <r>
    <x v="18"/>
    <s v="England"/>
    <x v="0"/>
    <n v="43"/>
    <n v="1380"/>
    <n v="32"/>
    <n v="182"/>
    <n v="32.090000000000003"/>
    <n v="758.24"/>
    <n v="7"/>
    <n v="8"/>
  </r>
  <r>
    <x v="19"/>
    <s v="Pakistan"/>
    <x v="2"/>
    <n v="56"/>
    <n v="160"/>
    <n v="13"/>
    <n v="365"/>
    <n v="2.86"/>
    <n v="43.84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:C24" firstHeaderRow="0" firstDataRow="1" firstDataCol="1"/>
  <pivotFields count="11">
    <pivotField axis="axisRow" showAll="0">
      <items count="2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t="default" sd="0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0"/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tches" fld="3" baseField="0" baseItem="0"/>
    <dataField name="Sum of Runs" fld="4" baseField="0" baseItem="0"/>
  </dataFields>
  <chartFormats count="4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9" format="9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9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9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9" format="9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9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9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9" format="9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9" format="100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9" format="10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9" format="10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9" format="103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9" format="104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9" format="105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9" format="106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9" format="10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08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9" format="109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9" format="110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9" format="11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9" format="112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9" format="113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9" format="114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9" format="115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9" format="116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9" format="117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9" format="118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9" format="119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9" format="120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9" format="121">
      <pivotArea type="data" outline="0" fieldPosition="0">
        <references count="2">
          <reference field="4294967294" count="1" selected="0">
            <x v="1"/>
          </reference>
          <reference field="0" count="1" selected="0">
            <x v="13"/>
          </reference>
        </references>
      </pivotArea>
    </chartFormat>
    <chartFormat chart="9" format="122">
      <pivotArea type="data" outline="0" fieldPosition="0">
        <references count="2">
          <reference field="4294967294" count="1" selected="0">
            <x v="1"/>
          </reference>
          <reference field="0" count="1" selected="0">
            <x v="14"/>
          </reference>
        </references>
      </pivotArea>
    </chartFormat>
    <chartFormat chart="9" format="123">
      <pivotArea type="data" outline="0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chartFormat>
    <chartFormat chart="9" format="124">
      <pivotArea type="data" outline="0" fieldPosition="0">
        <references count="2">
          <reference field="4294967294" count="1" selected="0">
            <x v="1"/>
          </reference>
          <reference field="0" count="1" selected="0">
            <x v="16"/>
          </reference>
        </references>
      </pivotArea>
    </chartFormat>
    <chartFormat chart="9" format="125">
      <pivotArea type="data" outline="0" fieldPosition="0">
        <references count="2">
          <reference field="4294967294" count="1" selected="0">
            <x v="1"/>
          </reference>
          <reference field="0" count="1" selected="0">
            <x v="17"/>
          </reference>
        </references>
      </pivotArea>
    </chartFormat>
    <chartFormat chart="9" format="126">
      <pivotArea type="data" outline="0" fieldPosition="0">
        <references count="2">
          <reference field="4294967294" count="1" selected="0">
            <x v="1"/>
          </reference>
          <reference field="0" count="1" selected="0">
            <x v="18"/>
          </reference>
        </references>
      </pivotArea>
    </chartFormat>
    <chartFormat chart="9" format="127">
      <pivotArea type="data" outline="0" fieldPosition="0">
        <references count="2">
          <reference field="4294967294" count="1" selected="0">
            <x v="1"/>
          </reference>
          <reference field="0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C24" firstHeaderRow="0" firstDataRow="1" firstDataCol="1"/>
  <pivotFields count="3">
    <pivotField dataField="1" showAll="0"/>
    <pivotField dataField="1" showAll="0"/>
    <pivotField axis="axisRow" allDrilled="1" showAll="0" dataSourceSort="1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tches" fld="0" baseField="0" baseItem="0"/>
    <dataField name="Sum of Balls Faced" fld="1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layer Stats!$A$3:$K$23">
        <x15:activeTabTopLevelEntity name="[Range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C24" firstHeaderRow="0" firstDataRow="1" firstDataCol="1"/>
  <pivotFields count="11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tches" fld="3" baseField="0" baseItem="0"/>
    <dataField name="Sum of Balls Faced" fld="6" baseField="0" baseItem="0"/>
  </dataFields>
  <chartFormats count="4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5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5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5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5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5" format="6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5" format="6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5" format="62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5" format="63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5" format="64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5" format="6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5" format="6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5" format="6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5" format="6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5" format="70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5" format="7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5" format="72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5" format="73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5" format="74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5" format="75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5" format="76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5" format="77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5" format="78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5" format="79">
      <pivotArea type="data" outline="0" fieldPosition="0">
        <references count="2">
          <reference field="4294967294" count="1" selected="0">
            <x v="1"/>
          </reference>
          <reference field="0" count="1" selected="0">
            <x v="13"/>
          </reference>
        </references>
      </pivotArea>
    </chartFormat>
    <chartFormat chart="5" format="80">
      <pivotArea type="data" outline="0" fieldPosition="0">
        <references count="2">
          <reference field="4294967294" count="1" selected="0">
            <x v="1"/>
          </reference>
          <reference field="0" count="1" selected="0">
            <x v="14"/>
          </reference>
        </references>
      </pivotArea>
    </chartFormat>
    <chartFormat chart="5" format="81">
      <pivotArea type="data" outline="0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chartFormat>
    <chartFormat chart="5" format="82">
      <pivotArea type="data" outline="0" fieldPosition="0">
        <references count="2">
          <reference field="4294967294" count="1" selected="0">
            <x v="1"/>
          </reference>
          <reference field="0" count="1" selected="0">
            <x v="16"/>
          </reference>
        </references>
      </pivotArea>
    </chartFormat>
    <chartFormat chart="5" format="83">
      <pivotArea type="data" outline="0" fieldPosition="0">
        <references count="2">
          <reference field="4294967294" count="1" selected="0">
            <x v="1"/>
          </reference>
          <reference field="0" count="1" selected="0">
            <x v="17"/>
          </reference>
        </references>
      </pivotArea>
    </chartFormat>
    <chartFormat chart="5" format="84">
      <pivotArea type="data" outline="0" fieldPosition="0">
        <references count="2">
          <reference field="4294967294" count="1" selected="0">
            <x v="1"/>
          </reference>
          <reference field="0" count="1" selected="0">
            <x v="18"/>
          </reference>
        </references>
      </pivotArea>
    </chartFormat>
    <chartFormat chart="5" format="85">
      <pivotArea type="data" outline="0" fieldPosition="0">
        <references count="2">
          <reference field="4294967294" count="1" selected="0">
            <x v="1"/>
          </reference>
          <reference field="0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:G44" firstHeaderRow="0" firstDataRow="1" firstDataCol="1"/>
  <pivotFields count="11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</pivotFields>
  <rowFields count="2">
    <field x="0"/>
    <field x="2"/>
  </rowFields>
  <rowItems count="41">
    <i>
      <x/>
    </i>
    <i r="1">
      <x v="1"/>
    </i>
    <i>
      <x v="1"/>
    </i>
    <i r="1">
      <x v="1"/>
    </i>
    <i>
      <x v="2"/>
    </i>
    <i r="1">
      <x/>
    </i>
    <i>
      <x v="3"/>
    </i>
    <i r="1">
      <x v="2"/>
    </i>
    <i>
      <x v="4"/>
    </i>
    <i r="1">
      <x v="3"/>
    </i>
    <i>
      <x v="5"/>
    </i>
    <i r="1">
      <x v="2"/>
    </i>
    <i>
      <x v="6"/>
    </i>
    <i r="1">
      <x/>
    </i>
    <i>
      <x v="7"/>
    </i>
    <i r="1">
      <x v="1"/>
    </i>
    <i>
      <x v="8"/>
    </i>
    <i r="1">
      <x v="2"/>
    </i>
    <i>
      <x v="9"/>
    </i>
    <i r="1">
      <x/>
    </i>
    <i>
      <x v="10"/>
    </i>
    <i r="1">
      <x v="1"/>
    </i>
    <i>
      <x v="11"/>
    </i>
    <i r="1">
      <x v="2"/>
    </i>
    <i>
      <x v="12"/>
    </i>
    <i r="1">
      <x v="3"/>
    </i>
    <i>
      <x v="13"/>
    </i>
    <i r="1">
      <x v="2"/>
    </i>
    <i>
      <x v="14"/>
    </i>
    <i r="1">
      <x/>
    </i>
    <i>
      <x v="15"/>
    </i>
    <i r="1">
      <x v="1"/>
    </i>
    <i>
      <x v="16"/>
    </i>
    <i r="1">
      <x v="3"/>
    </i>
    <i>
      <x v="17"/>
    </i>
    <i r="1">
      <x v="2"/>
    </i>
    <i>
      <x v="18"/>
    </i>
    <i r="1">
      <x v="1"/>
    </i>
    <i>
      <x v="19"/>
    </i>
    <i r="1"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atches" fld="3" baseField="0" baseItem="0"/>
    <dataField name="Sum of Runs" fld="4" baseField="0" baseItem="0"/>
    <dataField name="Sum of Wickets" fld="5" baseField="0" baseItem="0"/>
    <dataField name="Sum of Batting Average" fld="7" baseField="0" baseItem="0"/>
    <dataField name="Sum of Strike Rate" fld="8" baseField="0" baseItem="0"/>
    <dataField name="Sum of 50s" fld="9" baseField="0" baseItem="0"/>
  </dataField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4"/>
  <sheetViews>
    <sheetView topLeftCell="B1" workbookViewId="0">
      <selection sqref="A1:C2"/>
    </sheetView>
  </sheetViews>
  <sheetFormatPr defaultRowHeight="14.5" x14ac:dyDescent="0.35"/>
  <cols>
    <col min="1" max="1" width="15.7265625" customWidth="1"/>
    <col min="2" max="2" width="14.36328125" bestFit="1" customWidth="1"/>
    <col min="3" max="3" width="11.1796875" bestFit="1" customWidth="1"/>
  </cols>
  <sheetData>
    <row r="3" spans="1:3" x14ac:dyDescent="0.35">
      <c r="A3" s="5" t="s">
        <v>42</v>
      </c>
      <c r="B3" t="s">
        <v>44</v>
      </c>
      <c r="C3" t="s">
        <v>45</v>
      </c>
    </row>
    <row r="4" spans="1:3" x14ac:dyDescent="0.35">
      <c r="A4" s="6" t="s">
        <v>12</v>
      </c>
      <c r="B4" s="8">
        <v>45</v>
      </c>
      <c r="C4" s="8">
        <v>1620</v>
      </c>
    </row>
    <row r="5" spans="1:3" x14ac:dyDescent="0.35">
      <c r="A5" s="6" t="s">
        <v>15</v>
      </c>
      <c r="B5" s="8">
        <v>52</v>
      </c>
      <c r="C5" s="8">
        <v>1890</v>
      </c>
    </row>
    <row r="6" spans="1:3" x14ac:dyDescent="0.35">
      <c r="A6" s="6" t="s">
        <v>17</v>
      </c>
      <c r="B6" s="8">
        <v>48</v>
      </c>
      <c r="C6" s="8">
        <v>1340</v>
      </c>
    </row>
    <row r="7" spans="1:3" x14ac:dyDescent="0.35">
      <c r="A7" s="6" t="s">
        <v>20</v>
      </c>
      <c r="B7" s="8">
        <v>60</v>
      </c>
      <c r="C7" s="8">
        <v>210</v>
      </c>
    </row>
    <row r="8" spans="1:3" x14ac:dyDescent="0.35">
      <c r="A8" s="6" t="s">
        <v>23</v>
      </c>
      <c r="B8" s="8">
        <v>55</v>
      </c>
      <c r="C8" s="8">
        <v>1750</v>
      </c>
    </row>
    <row r="9" spans="1:3" x14ac:dyDescent="0.35">
      <c r="A9" s="6" t="s">
        <v>25</v>
      </c>
      <c r="B9" s="8">
        <v>58</v>
      </c>
      <c r="C9" s="8">
        <v>180</v>
      </c>
    </row>
    <row r="10" spans="1:3" x14ac:dyDescent="0.35">
      <c r="A10" s="6" t="s">
        <v>27</v>
      </c>
      <c r="B10" s="8">
        <v>50</v>
      </c>
      <c r="C10" s="8">
        <v>1200</v>
      </c>
    </row>
    <row r="11" spans="1:3" x14ac:dyDescent="0.35">
      <c r="A11" s="6" t="s">
        <v>28</v>
      </c>
      <c r="B11" s="8">
        <v>47</v>
      </c>
      <c r="C11" s="8">
        <v>1580</v>
      </c>
    </row>
    <row r="12" spans="1:3" x14ac:dyDescent="0.35">
      <c r="A12" s="6" t="s">
        <v>29</v>
      </c>
      <c r="B12" s="8">
        <v>62</v>
      </c>
      <c r="C12" s="8">
        <v>190</v>
      </c>
    </row>
    <row r="13" spans="1:3" x14ac:dyDescent="0.35">
      <c r="A13" s="6" t="s">
        <v>30</v>
      </c>
      <c r="B13" s="8">
        <v>53</v>
      </c>
      <c r="C13" s="8">
        <v>1410</v>
      </c>
    </row>
    <row r="14" spans="1:3" x14ac:dyDescent="0.35">
      <c r="A14" s="6" t="s">
        <v>31</v>
      </c>
      <c r="B14" s="8">
        <v>44</v>
      </c>
      <c r="C14" s="8">
        <v>1500</v>
      </c>
    </row>
    <row r="15" spans="1:3" x14ac:dyDescent="0.35">
      <c r="A15" s="6" t="s">
        <v>32</v>
      </c>
      <c r="B15" s="8">
        <v>59</v>
      </c>
      <c r="C15" s="8">
        <v>150</v>
      </c>
    </row>
    <row r="16" spans="1:3" x14ac:dyDescent="0.35">
      <c r="A16" s="6" t="s">
        <v>33</v>
      </c>
      <c r="B16" s="8">
        <v>51</v>
      </c>
      <c r="C16" s="8">
        <v>1620</v>
      </c>
    </row>
    <row r="17" spans="1:3" x14ac:dyDescent="0.35">
      <c r="A17" s="6" t="s">
        <v>34</v>
      </c>
      <c r="B17" s="8">
        <v>57</v>
      </c>
      <c r="C17" s="8">
        <v>200</v>
      </c>
    </row>
    <row r="18" spans="1:3" x14ac:dyDescent="0.35">
      <c r="A18" s="6" t="s">
        <v>35</v>
      </c>
      <c r="B18" s="8">
        <v>49</v>
      </c>
      <c r="C18" s="8">
        <v>1280</v>
      </c>
    </row>
    <row r="19" spans="1:3" x14ac:dyDescent="0.35">
      <c r="A19" s="6" t="s">
        <v>36</v>
      </c>
      <c r="B19" s="8">
        <v>46</v>
      </c>
      <c r="C19" s="8">
        <v>1490</v>
      </c>
    </row>
    <row r="20" spans="1:3" x14ac:dyDescent="0.35">
      <c r="A20" s="6" t="s">
        <v>37</v>
      </c>
      <c r="B20" s="8">
        <v>54</v>
      </c>
      <c r="C20" s="8">
        <v>1700</v>
      </c>
    </row>
    <row r="21" spans="1:3" x14ac:dyDescent="0.35">
      <c r="A21" s="6" t="s">
        <v>38</v>
      </c>
      <c r="B21" s="8">
        <v>61</v>
      </c>
      <c r="C21" s="8">
        <v>170</v>
      </c>
    </row>
    <row r="22" spans="1:3" x14ac:dyDescent="0.35">
      <c r="A22" s="6" t="s">
        <v>39</v>
      </c>
      <c r="B22" s="8">
        <v>43</v>
      </c>
      <c r="C22" s="8">
        <v>1380</v>
      </c>
    </row>
    <row r="23" spans="1:3" x14ac:dyDescent="0.35">
      <c r="A23" s="6" t="s">
        <v>40</v>
      </c>
      <c r="B23" s="8">
        <v>56</v>
      </c>
      <c r="C23" s="8">
        <v>160</v>
      </c>
    </row>
    <row r="24" spans="1:3" x14ac:dyDescent="0.35">
      <c r="A24" s="6" t="s">
        <v>43</v>
      </c>
      <c r="B24" s="8">
        <v>1050</v>
      </c>
      <c r="C24" s="8">
        <v>21020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4"/>
  <sheetViews>
    <sheetView workbookViewId="0">
      <selection activeCell="A3" sqref="A3"/>
    </sheetView>
  </sheetViews>
  <sheetFormatPr defaultRowHeight="14.5" x14ac:dyDescent="0.35"/>
  <cols>
    <col min="1" max="1" width="13.81640625" bestFit="1" customWidth="1"/>
    <col min="2" max="2" width="14.36328125" bestFit="1" customWidth="1"/>
    <col min="3" max="3" width="16.26953125" bestFit="1" customWidth="1"/>
  </cols>
  <sheetData>
    <row r="3" spans="1:3" x14ac:dyDescent="0.35">
      <c r="A3" s="5" t="s">
        <v>42</v>
      </c>
      <c r="B3" t="s">
        <v>44</v>
      </c>
      <c r="C3" t="s">
        <v>46</v>
      </c>
    </row>
    <row r="4" spans="1:3" x14ac:dyDescent="0.35">
      <c r="A4" s="6" t="s">
        <v>12</v>
      </c>
      <c r="B4" s="8">
        <v>45</v>
      </c>
      <c r="C4" s="8">
        <v>201</v>
      </c>
    </row>
    <row r="5" spans="1:3" x14ac:dyDescent="0.35">
      <c r="A5" s="6" t="s">
        <v>15</v>
      </c>
      <c r="B5" s="8">
        <v>52</v>
      </c>
      <c r="C5" s="8">
        <v>210</v>
      </c>
    </row>
    <row r="6" spans="1:3" x14ac:dyDescent="0.35">
      <c r="A6" s="6" t="s">
        <v>17</v>
      </c>
      <c r="B6" s="8">
        <v>48</v>
      </c>
      <c r="C6" s="8">
        <v>180</v>
      </c>
    </row>
    <row r="7" spans="1:3" x14ac:dyDescent="0.35">
      <c r="A7" s="6" t="s">
        <v>20</v>
      </c>
      <c r="B7" s="8">
        <v>60</v>
      </c>
      <c r="C7" s="8">
        <v>400</v>
      </c>
    </row>
    <row r="8" spans="1:3" x14ac:dyDescent="0.35">
      <c r="A8" s="6" t="s">
        <v>23</v>
      </c>
      <c r="B8" s="8">
        <v>55</v>
      </c>
      <c r="C8" s="8">
        <v>205</v>
      </c>
    </row>
    <row r="9" spans="1:3" x14ac:dyDescent="0.35">
      <c r="A9" s="6" t="s">
        <v>25</v>
      </c>
      <c r="B9" s="8">
        <v>58</v>
      </c>
      <c r="C9" s="8">
        <v>355</v>
      </c>
    </row>
    <row r="10" spans="1:3" x14ac:dyDescent="0.35">
      <c r="A10" s="6" t="s">
        <v>27</v>
      </c>
      <c r="B10" s="8">
        <v>50</v>
      </c>
      <c r="C10" s="8">
        <v>160</v>
      </c>
    </row>
    <row r="11" spans="1:3" x14ac:dyDescent="0.35">
      <c r="A11" s="6" t="s">
        <v>28</v>
      </c>
      <c r="B11" s="8">
        <v>47</v>
      </c>
      <c r="C11" s="8">
        <v>190</v>
      </c>
    </row>
    <row r="12" spans="1:3" x14ac:dyDescent="0.35">
      <c r="A12" s="6" t="s">
        <v>29</v>
      </c>
      <c r="B12" s="8">
        <v>62</v>
      </c>
      <c r="C12" s="8">
        <v>420</v>
      </c>
    </row>
    <row r="13" spans="1:3" x14ac:dyDescent="0.35">
      <c r="A13" s="6" t="s">
        <v>30</v>
      </c>
      <c r="B13" s="8">
        <v>53</v>
      </c>
      <c r="C13" s="8">
        <v>170</v>
      </c>
    </row>
    <row r="14" spans="1:3" x14ac:dyDescent="0.35">
      <c r="A14" s="6" t="s">
        <v>31</v>
      </c>
      <c r="B14" s="8">
        <v>44</v>
      </c>
      <c r="C14" s="8">
        <v>198</v>
      </c>
    </row>
    <row r="15" spans="1:3" x14ac:dyDescent="0.35">
      <c r="A15" s="6" t="s">
        <v>32</v>
      </c>
      <c r="B15" s="8">
        <v>59</v>
      </c>
      <c r="C15" s="8">
        <v>380</v>
      </c>
    </row>
    <row r="16" spans="1:3" x14ac:dyDescent="0.35">
      <c r="A16" s="6" t="s">
        <v>33</v>
      </c>
      <c r="B16" s="8">
        <v>51</v>
      </c>
      <c r="C16" s="8">
        <v>188</v>
      </c>
    </row>
    <row r="17" spans="1:3" x14ac:dyDescent="0.35">
      <c r="A17" s="6" t="s">
        <v>34</v>
      </c>
      <c r="B17" s="8">
        <v>57</v>
      </c>
      <c r="C17" s="8">
        <v>410</v>
      </c>
    </row>
    <row r="18" spans="1:3" x14ac:dyDescent="0.35">
      <c r="A18" s="6" t="s">
        <v>35</v>
      </c>
      <c r="B18" s="8">
        <v>49</v>
      </c>
      <c r="C18" s="8">
        <v>165</v>
      </c>
    </row>
    <row r="19" spans="1:3" x14ac:dyDescent="0.35">
      <c r="A19" s="6" t="s">
        <v>36</v>
      </c>
      <c r="B19" s="8">
        <v>46</v>
      </c>
      <c r="C19" s="8">
        <v>178</v>
      </c>
    </row>
    <row r="20" spans="1:3" x14ac:dyDescent="0.35">
      <c r="A20" s="6" t="s">
        <v>37</v>
      </c>
      <c r="B20" s="8">
        <v>54</v>
      </c>
      <c r="C20" s="8">
        <v>195</v>
      </c>
    </row>
    <row r="21" spans="1:3" x14ac:dyDescent="0.35">
      <c r="A21" s="6" t="s">
        <v>38</v>
      </c>
      <c r="B21" s="8">
        <v>61</v>
      </c>
      <c r="C21" s="8">
        <v>395</v>
      </c>
    </row>
    <row r="22" spans="1:3" x14ac:dyDescent="0.35">
      <c r="A22" s="6" t="s">
        <v>39</v>
      </c>
      <c r="B22" s="8">
        <v>43</v>
      </c>
      <c r="C22" s="8">
        <v>182</v>
      </c>
    </row>
    <row r="23" spans="1:3" x14ac:dyDescent="0.35">
      <c r="A23" s="6" t="s">
        <v>40</v>
      </c>
      <c r="B23" s="8">
        <v>56</v>
      </c>
      <c r="C23" s="8">
        <v>365</v>
      </c>
    </row>
    <row r="24" spans="1:3" x14ac:dyDescent="0.35">
      <c r="A24" s="6" t="s">
        <v>43</v>
      </c>
      <c r="B24" s="8">
        <v>1050</v>
      </c>
      <c r="C24" s="8">
        <v>5147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4"/>
  <sheetViews>
    <sheetView workbookViewId="0">
      <selection activeCell="A3" sqref="A3"/>
    </sheetView>
  </sheetViews>
  <sheetFormatPr defaultRowHeight="14.5" x14ac:dyDescent="0.35"/>
  <cols>
    <col min="1" max="1" width="13.81640625" bestFit="1" customWidth="1"/>
    <col min="2" max="2" width="14.36328125" bestFit="1" customWidth="1"/>
    <col min="3" max="3" width="16.26953125" bestFit="1" customWidth="1"/>
  </cols>
  <sheetData>
    <row r="3" spans="1:3" x14ac:dyDescent="0.35">
      <c r="A3" s="5" t="s">
        <v>42</v>
      </c>
      <c r="B3" t="s">
        <v>44</v>
      </c>
      <c r="C3" t="s">
        <v>46</v>
      </c>
    </row>
    <row r="4" spans="1:3" x14ac:dyDescent="0.35">
      <c r="A4" s="6" t="s">
        <v>12</v>
      </c>
      <c r="B4" s="8">
        <v>45</v>
      </c>
      <c r="C4" s="8">
        <v>201</v>
      </c>
    </row>
    <row r="5" spans="1:3" x14ac:dyDescent="0.35">
      <c r="A5" s="6" t="s">
        <v>15</v>
      </c>
      <c r="B5" s="8">
        <v>52</v>
      </c>
      <c r="C5" s="8">
        <v>210</v>
      </c>
    </row>
    <row r="6" spans="1:3" x14ac:dyDescent="0.35">
      <c r="A6" s="6" t="s">
        <v>17</v>
      </c>
      <c r="B6" s="8">
        <v>48</v>
      </c>
      <c r="C6" s="8">
        <v>180</v>
      </c>
    </row>
    <row r="7" spans="1:3" x14ac:dyDescent="0.35">
      <c r="A7" s="6" t="s">
        <v>20</v>
      </c>
      <c r="B7" s="8">
        <v>60</v>
      </c>
      <c r="C7" s="8">
        <v>400</v>
      </c>
    </row>
    <row r="8" spans="1:3" x14ac:dyDescent="0.35">
      <c r="A8" s="6" t="s">
        <v>23</v>
      </c>
      <c r="B8" s="8">
        <v>55</v>
      </c>
      <c r="C8" s="8">
        <v>205</v>
      </c>
    </row>
    <row r="9" spans="1:3" x14ac:dyDescent="0.35">
      <c r="A9" s="6" t="s">
        <v>25</v>
      </c>
      <c r="B9" s="8">
        <v>58</v>
      </c>
      <c r="C9" s="8">
        <v>355</v>
      </c>
    </row>
    <row r="10" spans="1:3" x14ac:dyDescent="0.35">
      <c r="A10" s="6" t="s">
        <v>27</v>
      </c>
      <c r="B10" s="8">
        <v>50</v>
      </c>
      <c r="C10" s="8">
        <v>160</v>
      </c>
    </row>
    <row r="11" spans="1:3" x14ac:dyDescent="0.35">
      <c r="A11" s="6" t="s">
        <v>28</v>
      </c>
      <c r="B11" s="8">
        <v>47</v>
      </c>
      <c r="C11" s="8">
        <v>190</v>
      </c>
    </row>
    <row r="12" spans="1:3" x14ac:dyDescent="0.35">
      <c r="A12" s="6" t="s">
        <v>29</v>
      </c>
      <c r="B12" s="8">
        <v>62</v>
      </c>
      <c r="C12" s="8">
        <v>420</v>
      </c>
    </row>
    <row r="13" spans="1:3" x14ac:dyDescent="0.35">
      <c r="A13" s="6" t="s">
        <v>30</v>
      </c>
      <c r="B13" s="8">
        <v>53</v>
      </c>
      <c r="C13" s="8">
        <v>170</v>
      </c>
    </row>
    <row r="14" spans="1:3" x14ac:dyDescent="0.35">
      <c r="A14" s="6" t="s">
        <v>31</v>
      </c>
      <c r="B14" s="8">
        <v>44</v>
      </c>
      <c r="C14" s="8">
        <v>198</v>
      </c>
    </row>
    <row r="15" spans="1:3" x14ac:dyDescent="0.35">
      <c r="A15" s="6" t="s">
        <v>32</v>
      </c>
      <c r="B15" s="8">
        <v>59</v>
      </c>
      <c r="C15" s="8">
        <v>380</v>
      </c>
    </row>
    <row r="16" spans="1:3" x14ac:dyDescent="0.35">
      <c r="A16" s="6" t="s">
        <v>33</v>
      </c>
      <c r="B16" s="8">
        <v>51</v>
      </c>
      <c r="C16" s="8">
        <v>188</v>
      </c>
    </row>
    <row r="17" spans="1:3" x14ac:dyDescent="0.35">
      <c r="A17" s="6" t="s">
        <v>34</v>
      </c>
      <c r="B17" s="8">
        <v>57</v>
      </c>
      <c r="C17" s="8">
        <v>410</v>
      </c>
    </row>
    <row r="18" spans="1:3" x14ac:dyDescent="0.35">
      <c r="A18" s="6" t="s">
        <v>35</v>
      </c>
      <c r="B18" s="8">
        <v>49</v>
      </c>
      <c r="C18" s="8">
        <v>165</v>
      </c>
    </row>
    <row r="19" spans="1:3" x14ac:dyDescent="0.35">
      <c r="A19" s="6" t="s">
        <v>36</v>
      </c>
      <c r="B19" s="8">
        <v>46</v>
      </c>
      <c r="C19" s="8">
        <v>178</v>
      </c>
    </row>
    <row r="20" spans="1:3" x14ac:dyDescent="0.35">
      <c r="A20" s="6" t="s">
        <v>37</v>
      </c>
      <c r="B20" s="8">
        <v>54</v>
      </c>
      <c r="C20" s="8">
        <v>195</v>
      </c>
    </row>
    <row r="21" spans="1:3" x14ac:dyDescent="0.35">
      <c r="A21" s="6" t="s">
        <v>38</v>
      </c>
      <c r="B21" s="8">
        <v>61</v>
      </c>
      <c r="C21" s="8">
        <v>395</v>
      </c>
    </row>
    <row r="22" spans="1:3" x14ac:dyDescent="0.35">
      <c r="A22" s="6" t="s">
        <v>39</v>
      </c>
      <c r="B22" s="8">
        <v>43</v>
      </c>
      <c r="C22" s="8">
        <v>182</v>
      </c>
    </row>
    <row r="23" spans="1:3" x14ac:dyDescent="0.35">
      <c r="A23" s="6" t="s">
        <v>40</v>
      </c>
      <c r="B23" s="8">
        <v>56</v>
      </c>
      <c r="C23" s="8">
        <v>365</v>
      </c>
    </row>
    <row r="24" spans="1:3" x14ac:dyDescent="0.35">
      <c r="A24" s="6" t="s">
        <v>43</v>
      </c>
      <c r="B24" s="8">
        <v>1050</v>
      </c>
      <c r="C24" s="8">
        <v>5147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17" sqref="I1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44"/>
  <sheetViews>
    <sheetView workbookViewId="0">
      <selection activeCell="A3" sqref="A3"/>
    </sheetView>
  </sheetViews>
  <sheetFormatPr defaultRowHeight="14.5" x14ac:dyDescent="0.35"/>
  <cols>
    <col min="1" max="1" width="16.08984375" bestFit="1" customWidth="1"/>
    <col min="2" max="2" width="14.36328125" bestFit="1" customWidth="1"/>
    <col min="3" max="3" width="11.1796875" bestFit="1" customWidth="1"/>
    <col min="4" max="4" width="13.81640625" bestFit="1" customWidth="1"/>
    <col min="5" max="5" width="20.453125" bestFit="1" customWidth="1"/>
    <col min="6" max="6" width="16.26953125" bestFit="1" customWidth="1"/>
    <col min="7" max="7" width="9.90625" bestFit="1" customWidth="1"/>
  </cols>
  <sheetData>
    <row r="3" spans="1:7" x14ac:dyDescent="0.35">
      <c r="A3" s="5" t="s">
        <v>42</v>
      </c>
      <c r="B3" t="s">
        <v>44</v>
      </c>
      <c r="C3" t="s">
        <v>45</v>
      </c>
      <c r="D3" t="s">
        <v>47</v>
      </c>
      <c r="E3" t="s">
        <v>48</v>
      </c>
      <c r="F3" t="s">
        <v>49</v>
      </c>
      <c r="G3" t="s">
        <v>50</v>
      </c>
    </row>
    <row r="4" spans="1:7" x14ac:dyDescent="0.35">
      <c r="A4" s="6" t="s">
        <v>12</v>
      </c>
      <c r="B4" s="8">
        <v>45</v>
      </c>
      <c r="C4" s="8">
        <v>1620</v>
      </c>
      <c r="D4" s="8">
        <v>38</v>
      </c>
      <c r="E4" s="8">
        <v>36</v>
      </c>
      <c r="F4" s="8">
        <v>805.97</v>
      </c>
      <c r="G4" s="8">
        <v>12</v>
      </c>
    </row>
    <row r="5" spans="1:7" x14ac:dyDescent="0.35">
      <c r="A5" s="7" t="s">
        <v>14</v>
      </c>
      <c r="B5" s="8">
        <v>45</v>
      </c>
      <c r="C5" s="8">
        <v>1620</v>
      </c>
      <c r="D5" s="8">
        <v>38</v>
      </c>
      <c r="E5" s="8">
        <v>36</v>
      </c>
      <c r="F5" s="8">
        <v>805.97</v>
      </c>
      <c r="G5" s="8">
        <v>12</v>
      </c>
    </row>
    <row r="6" spans="1:7" x14ac:dyDescent="0.35">
      <c r="A6" s="6" t="s">
        <v>15</v>
      </c>
      <c r="B6" s="8">
        <v>52</v>
      </c>
      <c r="C6" s="8">
        <v>1890</v>
      </c>
      <c r="D6" s="8">
        <v>29</v>
      </c>
      <c r="E6" s="8">
        <v>36.35</v>
      </c>
      <c r="F6" s="8">
        <v>900</v>
      </c>
      <c r="G6" s="8">
        <v>10</v>
      </c>
    </row>
    <row r="7" spans="1:7" x14ac:dyDescent="0.35">
      <c r="A7" s="7" t="s">
        <v>14</v>
      </c>
      <c r="B7" s="8">
        <v>52</v>
      </c>
      <c r="C7" s="8">
        <v>1890</v>
      </c>
      <c r="D7" s="8">
        <v>29</v>
      </c>
      <c r="E7" s="8">
        <v>36.35</v>
      </c>
      <c r="F7" s="8">
        <v>900</v>
      </c>
      <c r="G7" s="8">
        <v>10</v>
      </c>
    </row>
    <row r="8" spans="1:7" x14ac:dyDescent="0.35">
      <c r="A8" s="6" t="s">
        <v>17</v>
      </c>
      <c r="B8" s="8">
        <v>48</v>
      </c>
      <c r="C8" s="8">
        <v>1340</v>
      </c>
      <c r="D8" s="8">
        <v>33</v>
      </c>
      <c r="E8" s="8">
        <v>27.92</v>
      </c>
      <c r="F8" s="8">
        <v>744.44</v>
      </c>
      <c r="G8" s="8">
        <v>5</v>
      </c>
    </row>
    <row r="9" spans="1:7" x14ac:dyDescent="0.35">
      <c r="A9" s="7" t="s">
        <v>19</v>
      </c>
      <c r="B9" s="8">
        <v>48</v>
      </c>
      <c r="C9" s="8">
        <v>1340</v>
      </c>
      <c r="D9" s="8">
        <v>33</v>
      </c>
      <c r="E9" s="8">
        <v>27.92</v>
      </c>
      <c r="F9" s="8">
        <v>744.44</v>
      </c>
      <c r="G9" s="8">
        <v>5</v>
      </c>
    </row>
    <row r="10" spans="1:7" x14ac:dyDescent="0.35">
      <c r="A10" s="6" t="s">
        <v>20</v>
      </c>
      <c r="B10" s="8">
        <v>60</v>
      </c>
      <c r="C10" s="8">
        <v>210</v>
      </c>
      <c r="D10" s="8">
        <v>15</v>
      </c>
      <c r="E10" s="8">
        <v>3.5</v>
      </c>
      <c r="F10" s="8">
        <v>52.5</v>
      </c>
      <c r="G10" s="8">
        <v>0</v>
      </c>
    </row>
    <row r="11" spans="1:7" x14ac:dyDescent="0.35">
      <c r="A11" s="7" t="s">
        <v>22</v>
      </c>
      <c r="B11" s="8">
        <v>60</v>
      </c>
      <c r="C11" s="8">
        <v>210</v>
      </c>
      <c r="D11" s="8">
        <v>15</v>
      </c>
      <c r="E11" s="8">
        <v>3.5</v>
      </c>
      <c r="F11" s="8">
        <v>52.5</v>
      </c>
      <c r="G11" s="8">
        <v>0</v>
      </c>
    </row>
    <row r="12" spans="1:7" x14ac:dyDescent="0.35">
      <c r="A12" s="6" t="s">
        <v>23</v>
      </c>
      <c r="B12" s="8">
        <v>55</v>
      </c>
      <c r="C12" s="8">
        <v>1750</v>
      </c>
      <c r="D12" s="8">
        <v>42</v>
      </c>
      <c r="E12" s="8">
        <v>31.82</v>
      </c>
      <c r="F12" s="8">
        <v>853.66</v>
      </c>
      <c r="G12" s="8">
        <v>11</v>
      </c>
    </row>
    <row r="13" spans="1:7" x14ac:dyDescent="0.35">
      <c r="A13" s="7" t="s">
        <v>24</v>
      </c>
      <c r="B13" s="8">
        <v>55</v>
      </c>
      <c r="C13" s="8">
        <v>1750</v>
      </c>
      <c r="D13" s="8">
        <v>42</v>
      </c>
      <c r="E13" s="8">
        <v>31.82</v>
      </c>
      <c r="F13" s="8">
        <v>853.66</v>
      </c>
      <c r="G13" s="8">
        <v>11</v>
      </c>
    </row>
    <row r="14" spans="1:7" x14ac:dyDescent="0.35">
      <c r="A14" s="6" t="s">
        <v>25</v>
      </c>
      <c r="B14" s="8">
        <v>58</v>
      </c>
      <c r="C14" s="8">
        <v>180</v>
      </c>
      <c r="D14" s="8">
        <v>8</v>
      </c>
      <c r="E14" s="8">
        <v>3.1</v>
      </c>
      <c r="F14" s="8">
        <v>50.7</v>
      </c>
      <c r="G14" s="8">
        <v>0</v>
      </c>
    </row>
    <row r="15" spans="1:7" x14ac:dyDescent="0.35">
      <c r="A15" s="7" t="s">
        <v>22</v>
      </c>
      <c r="B15" s="8">
        <v>58</v>
      </c>
      <c r="C15" s="8">
        <v>180</v>
      </c>
      <c r="D15" s="8">
        <v>8</v>
      </c>
      <c r="E15" s="8">
        <v>3.1</v>
      </c>
      <c r="F15" s="8">
        <v>50.7</v>
      </c>
      <c r="G15" s="8">
        <v>0</v>
      </c>
    </row>
    <row r="16" spans="1:7" x14ac:dyDescent="0.35">
      <c r="A16" s="6" t="s">
        <v>27</v>
      </c>
      <c r="B16" s="8">
        <v>50</v>
      </c>
      <c r="C16" s="8">
        <v>1200</v>
      </c>
      <c r="D16" s="8">
        <v>36</v>
      </c>
      <c r="E16" s="8">
        <v>24</v>
      </c>
      <c r="F16" s="8">
        <v>750</v>
      </c>
      <c r="G16" s="8">
        <v>6</v>
      </c>
    </row>
    <row r="17" spans="1:7" x14ac:dyDescent="0.35">
      <c r="A17" s="7" t="s">
        <v>19</v>
      </c>
      <c r="B17" s="8">
        <v>50</v>
      </c>
      <c r="C17" s="8">
        <v>1200</v>
      </c>
      <c r="D17" s="8">
        <v>36</v>
      </c>
      <c r="E17" s="8">
        <v>24</v>
      </c>
      <c r="F17" s="8">
        <v>750</v>
      </c>
      <c r="G17" s="8">
        <v>6</v>
      </c>
    </row>
    <row r="18" spans="1:7" x14ac:dyDescent="0.35">
      <c r="A18" s="6" t="s">
        <v>28</v>
      </c>
      <c r="B18" s="8">
        <v>47</v>
      </c>
      <c r="C18" s="8">
        <v>1580</v>
      </c>
      <c r="D18" s="8">
        <v>40</v>
      </c>
      <c r="E18" s="8">
        <v>33.619999999999997</v>
      </c>
      <c r="F18" s="8">
        <v>831.58</v>
      </c>
      <c r="G18" s="8">
        <v>9</v>
      </c>
    </row>
    <row r="19" spans="1:7" x14ac:dyDescent="0.35">
      <c r="A19" s="7" t="s">
        <v>14</v>
      </c>
      <c r="B19" s="8">
        <v>47</v>
      </c>
      <c r="C19" s="8">
        <v>1580</v>
      </c>
      <c r="D19" s="8">
        <v>40</v>
      </c>
      <c r="E19" s="8">
        <v>33.619999999999997</v>
      </c>
      <c r="F19" s="8">
        <v>831.58</v>
      </c>
      <c r="G19" s="8">
        <v>9</v>
      </c>
    </row>
    <row r="20" spans="1:7" x14ac:dyDescent="0.35">
      <c r="A20" s="6" t="s">
        <v>29</v>
      </c>
      <c r="B20" s="8">
        <v>62</v>
      </c>
      <c r="C20" s="8">
        <v>190</v>
      </c>
      <c r="D20" s="8">
        <v>12</v>
      </c>
      <c r="E20" s="8">
        <v>3.06</v>
      </c>
      <c r="F20" s="8">
        <v>45.24</v>
      </c>
      <c r="G20" s="8">
        <v>0</v>
      </c>
    </row>
    <row r="21" spans="1:7" x14ac:dyDescent="0.35">
      <c r="A21" s="7" t="s">
        <v>22</v>
      </c>
      <c r="B21" s="8">
        <v>62</v>
      </c>
      <c r="C21" s="8">
        <v>190</v>
      </c>
      <c r="D21" s="8">
        <v>12</v>
      </c>
      <c r="E21" s="8">
        <v>3.06</v>
      </c>
      <c r="F21" s="8">
        <v>45.24</v>
      </c>
      <c r="G21" s="8">
        <v>0</v>
      </c>
    </row>
    <row r="22" spans="1:7" x14ac:dyDescent="0.35">
      <c r="A22" s="6" t="s">
        <v>30</v>
      </c>
      <c r="B22" s="8">
        <v>53</v>
      </c>
      <c r="C22" s="8">
        <v>1410</v>
      </c>
      <c r="D22" s="8">
        <v>31</v>
      </c>
      <c r="E22" s="8">
        <v>26.6</v>
      </c>
      <c r="F22" s="8">
        <v>829.41</v>
      </c>
      <c r="G22" s="8">
        <v>7</v>
      </c>
    </row>
    <row r="23" spans="1:7" x14ac:dyDescent="0.35">
      <c r="A23" s="7" t="s">
        <v>19</v>
      </c>
      <c r="B23" s="8">
        <v>53</v>
      </c>
      <c r="C23" s="8">
        <v>1410</v>
      </c>
      <c r="D23" s="8">
        <v>31</v>
      </c>
      <c r="E23" s="8">
        <v>26.6</v>
      </c>
      <c r="F23" s="8">
        <v>829.41</v>
      </c>
      <c r="G23" s="8">
        <v>7</v>
      </c>
    </row>
    <row r="24" spans="1:7" x14ac:dyDescent="0.35">
      <c r="A24" s="6" t="s">
        <v>31</v>
      </c>
      <c r="B24" s="8">
        <v>44</v>
      </c>
      <c r="C24" s="8">
        <v>1500</v>
      </c>
      <c r="D24" s="8">
        <v>37</v>
      </c>
      <c r="E24" s="8">
        <v>34.090000000000003</v>
      </c>
      <c r="F24" s="8">
        <v>757.58</v>
      </c>
      <c r="G24" s="8">
        <v>8</v>
      </c>
    </row>
    <row r="25" spans="1:7" x14ac:dyDescent="0.35">
      <c r="A25" s="7" t="s">
        <v>14</v>
      </c>
      <c r="B25" s="8">
        <v>44</v>
      </c>
      <c r="C25" s="8">
        <v>1500</v>
      </c>
      <c r="D25" s="8">
        <v>37</v>
      </c>
      <c r="E25" s="8">
        <v>34.090000000000003</v>
      </c>
      <c r="F25" s="8">
        <v>757.58</v>
      </c>
      <c r="G25" s="8">
        <v>8</v>
      </c>
    </row>
    <row r="26" spans="1:7" x14ac:dyDescent="0.35">
      <c r="A26" s="6" t="s">
        <v>32</v>
      </c>
      <c r="B26" s="8">
        <v>59</v>
      </c>
      <c r="C26" s="8">
        <v>150</v>
      </c>
      <c r="D26" s="8">
        <v>10</v>
      </c>
      <c r="E26" s="8">
        <v>2.54</v>
      </c>
      <c r="F26" s="8">
        <v>39.47</v>
      </c>
      <c r="G26" s="8">
        <v>0</v>
      </c>
    </row>
    <row r="27" spans="1:7" x14ac:dyDescent="0.35">
      <c r="A27" s="7" t="s">
        <v>22</v>
      </c>
      <c r="B27" s="8">
        <v>59</v>
      </c>
      <c r="C27" s="8">
        <v>150</v>
      </c>
      <c r="D27" s="8">
        <v>10</v>
      </c>
      <c r="E27" s="8">
        <v>2.54</v>
      </c>
      <c r="F27" s="8">
        <v>39.47</v>
      </c>
      <c r="G27" s="8">
        <v>0</v>
      </c>
    </row>
    <row r="28" spans="1:7" x14ac:dyDescent="0.35">
      <c r="A28" s="6" t="s">
        <v>33</v>
      </c>
      <c r="B28" s="8">
        <v>51</v>
      </c>
      <c r="C28" s="8">
        <v>1620</v>
      </c>
      <c r="D28" s="8">
        <v>39</v>
      </c>
      <c r="E28" s="8">
        <v>31.76</v>
      </c>
      <c r="F28" s="8">
        <v>861.7</v>
      </c>
      <c r="G28" s="8">
        <v>10</v>
      </c>
    </row>
    <row r="29" spans="1:7" x14ac:dyDescent="0.35">
      <c r="A29" s="7" t="s">
        <v>24</v>
      </c>
      <c r="B29" s="8">
        <v>51</v>
      </c>
      <c r="C29" s="8">
        <v>1620</v>
      </c>
      <c r="D29" s="8">
        <v>39</v>
      </c>
      <c r="E29" s="8">
        <v>31.76</v>
      </c>
      <c r="F29" s="8">
        <v>861.7</v>
      </c>
      <c r="G29" s="8">
        <v>10</v>
      </c>
    </row>
    <row r="30" spans="1:7" x14ac:dyDescent="0.35">
      <c r="A30" s="6" t="s">
        <v>34</v>
      </c>
      <c r="B30" s="8">
        <v>57</v>
      </c>
      <c r="C30" s="8">
        <v>200</v>
      </c>
      <c r="D30" s="8">
        <v>11</v>
      </c>
      <c r="E30" s="8">
        <v>3.51</v>
      </c>
      <c r="F30" s="8">
        <v>48.78</v>
      </c>
      <c r="G30" s="8">
        <v>0</v>
      </c>
    </row>
    <row r="31" spans="1:7" x14ac:dyDescent="0.35">
      <c r="A31" s="7" t="s">
        <v>22</v>
      </c>
      <c r="B31" s="8">
        <v>57</v>
      </c>
      <c r="C31" s="8">
        <v>200</v>
      </c>
      <c r="D31" s="8">
        <v>11</v>
      </c>
      <c r="E31" s="8">
        <v>3.51</v>
      </c>
      <c r="F31" s="8">
        <v>48.78</v>
      </c>
      <c r="G31" s="8">
        <v>0</v>
      </c>
    </row>
    <row r="32" spans="1:7" x14ac:dyDescent="0.35">
      <c r="A32" s="6" t="s">
        <v>35</v>
      </c>
      <c r="B32" s="8">
        <v>49</v>
      </c>
      <c r="C32" s="8">
        <v>1280</v>
      </c>
      <c r="D32" s="8">
        <v>34</v>
      </c>
      <c r="E32" s="8">
        <v>26.12</v>
      </c>
      <c r="F32" s="8">
        <v>775.76</v>
      </c>
      <c r="G32" s="8">
        <v>5</v>
      </c>
    </row>
    <row r="33" spans="1:7" x14ac:dyDescent="0.35">
      <c r="A33" s="7" t="s">
        <v>19</v>
      </c>
      <c r="B33" s="8">
        <v>49</v>
      </c>
      <c r="C33" s="8">
        <v>1280</v>
      </c>
      <c r="D33" s="8">
        <v>34</v>
      </c>
      <c r="E33" s="8">
        <v>26.12</v>
      </c>
      <c r="F33" s="8">
        <v>775.76</v>
      </c>
      <c r="G33" s="8">
        <v>5</v>
      </c>
    </row>
    <row r="34" spans="1:7" x14ac:dyDescent="0.35">
      <c r="A34" s="6" t="s">
        <v>36</v>
      </c>
      <c r="B34" s="8">
        <v>46</v>
      </c>
      <c r="C34" s="8">
        <v>1490</v>
      </c>
      <c r="D34" s="8">
        <v>35</v>
      </c>
      <c r="E34" s="8">
        <v>32.39</v>
      </c>
      <c r="F34" s="8">
        <v>837.08</v>
      </c>
      <c r="G34" s="8">
        <v>8</v>
      </c>
    </row>
    <row r="35" spans="1:7" x14ac:dyDescent="0.35">
      <c r="A35" s="7" t="s">
        <v>14</v>
      </c>
      <c r="B35" s="8">
        <v>46</v>
      </c>
      <c r="C35" s="8">
        <v>1490</v>
      </c>
      <c r="D35" s="8">
        <v>35</v>
      </c>
      <c r="E35" s="8">
        <v>32.39</v>
      </c>
      <c r="F35" s="8">
        <v>837.08</v>
      </c>
      <c r="G35" s="8">
        <v>8</v>
      </c>
    </row>
    <row r="36" spans="1:7" x14ac:dyDescent="0.35">
      <c r="A36" s="6" t="s">
        <v>37</v>
      </c>
      <c r="B36" s="8">
        <v>54</v>
      </c>
      <c r="C36" s="8">
        <v>1700</v>
      </c>
      <c r="D36" s="8">
        <v>41</v>
      </c>
      <c r="E36" s="8">
        <v>31.48</v>
      </c>
      <c r="F36" s="8">
        <v>871.79</v>
      </c>
      <c r="G36" s="8">
        <v>10</v>
      </c>
    </row>
    <row r="37" spans="1:7" x14ac:dyDescent="0.35">
      <c r="A37" s="7" t="s">
        <v>24</v>
      </c>
      <c r="B37" s="8">
        <v>54</v>
      </c>
      <c r="C37" s="8">
        <v>1700</v>
      </c>
      <c r="D37" s="8">
        <v>41</v>
      </c>
      <c r="E37" s="8">
        <v>31.48</v>
      </c>
      <c r="F37" s="8">
        <v>871.79</v>
      </c>
      <c r="G37" s="8">
        <v>10</v>
      </c>
    </row>
    <row r="38" spans="1:7" x14ac:dyDescent="0.35">
      <c r="A38" s="6" t="s">
        <v>38</v>
      </c>
      <c r="B38" s="8">
        <v>61</v>
      </c>
      <c r="C38" s="8">
        <v>170</v>
      </c>
      <c r="D38" s="8">
        <v>9</v>
      </c>
      <c r="E38" s="8">
        <v>2.79</v>
      </c>
      <c r="F38" s="8">
        <v>43.04</v>
      </c>
      <c r="G38" s="8">
        <v>0</v>
      </c>
    </row>
    <row r="39" spans="1:7" x14ac:dyDescent="0.35">
      <c r="A39" s="7" t="s">
        <v>22</v>
      </c>
      <c r="B39" s="8">
        <v>61</v>
      </c>
      <c r="C39" s="8">
        <v>170</v>
      </c>
      <c r="D39" s="8">
        <v>9</v>
      </c>
      <c r="E39" s="8">
        <v>2.79</v>
      </c>
      <c r="F39" s="8">
        <v>43.04</v>
      </c>
      <c r="G39" s="8">
        <v>0</v>
      </c>
    </row>
    <row r="40" spans="1:7" x14ac:dyDescent="0.35">
      <c r="A40" s="6" t="s">
        <v>39</v>
      </c>
      <c r="B40" s="8">
        <v>43</v>
      </c>
      <c r="C40" s="8">
        <v>1380</v>
      </c>
      <c r="D40" s="8">
        <v>32</v>
      </c>
      <c r="E40" s="8">
        <v>32.090000000000003</v>
      </c>
      <c r="F40" s="8">
        <v>758.24</v>
      </c>
      <c r="G40" s="8">
        <v>7</v>
      </c>
    </row>
    <row r="41" spans="1:7" x14ac:dyDescent="0.35">
      <c r="A41" s="7" t="s">
        <v>14</v>
      </c>
      <c r="B41" s="8">
        <v>43</v>
      </c>
      <c r="C41" s="8">
        <v>1380</v>
      </c>
      <c r="D41" s="8">
        <v>32</v>
      </c>
      <c r="E41" s="8">
        <v>32.090000000000003</v>
      </c>
      <c r="F41" s="8">
        <v>758.24</v>
      </c>
      <c r="G41" s="8">
        <v>7</v>
      </c>
    </row>
    <row r="42" spans="1:7" x14ac:dyDescent="0.35">
      <c r="A42" s="6" t="s">
        <v>40</v>
      </c>
      <c r="B42" s="8">
        <v>56</v>
      </c>
      <c r="C42" s="8">
        <v>160</v>
      </c>
      <c r="D42" s="8">
        <v>13</v>
      </c>
      <c r="E42" s="8">
        <v>2.86</v>
      </c>
      <c r="F42" s="8">
        <v>43.84</v>
      </c>
      <c r="G42" s="8">
        <v>0</v>
      </c>
    </row>
    <row r="43" spans="1:7" x14ac:dyDescent="0.35">
      <c r="A43" s="7" t="s">
        <v>22</v>
      </c>
      <c r="B43" s="8">
        <v>56</v>
      </c>
      <c r="C43" s="8">
        <v>160</v>
      </c>
      <c r="D43" s="8">
        <v>13</v>
      </c>
      <c r="E43" s="8">
        <v>2.86</v>
      </c>
      <c r="F43" s="8">
        <v>43.84</v>
      </c>
      <c r="G43" s="8">
        <v>0</v>
      </c>
    </row>
    <row r="44" spans="1:7" x14ac:dyDescent="0.35">
      <c r="A44" s="6" t="s">
        <v>43</v>
      </c>
      <c r="B44" s="8">
        <v>1050</v>
      </c>
      <c r="C44" s="8">
        <v>21020</v>
      </c>
      <c r="D44" s="8">
        <v>545</v>
      </c>
      <c r="E44" s="8">
        <v>425.6</v>
      </c>
      <c r="F44" s="8">
        <v>10900.78</v>
      </c>
      <c r="G44" s="8">
        <v>108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Normal="100" workbookViewId="0">
      <pane ySplit="3" topLeftCell="A4" activePane="bottomLeft" state="frozen"/>
      <selection pane="bottomLeft" activeCell="A4" sqref="A3:K23"/>
    </sheetView>
  </sheetViews>
  <sheetFormatPr defaultColWidth="8.6328125" defaultRowHeight="14.5" x14ac:dyDescent="0.35"/>
  <cols>
    <col min="1" max="1" width="18" customWidth="1"/>
    <col min="2" max="3" width="14" customWidth="1"/>
    <col min="4" max="4" width="10" customWidth="1"/>
    <col min="5" max="6" width="9" customWidth="1"/>
    <col min="7" max="7" width="12" customWidth="1"/>
    <col min="8" max="8" width="15" customWidth="1"/>
    <col min="9" max="9" width="12" customWidth="1"/>
    <col min="10" max="10" width="7" customWidth="1"/>
    <col min="11" max="11" width="14" customWidth="1"/>
  </cols>
  <sheetData>
    <row r="1" spans="1:12" ht="21.75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2" x14ac:dyDescent="0.35">
      <c r="A4" s="3" t="s">
        <v>12</v>
      </c>
      <c r="B4" s="3" t="s">
        <v>13</v>
      </c>
      <c r="C4" s="3" t="s">
        <v>14</v>
      </c>
      <c r="D4" s="3">
        <v>45</v>
      </c>
      <c r="E4" s="3">
        <v>1620</v>
      </c>
      <c r="F4" s="3">
        <v>38</v>
      </c>
      <c r="G4" s="3">
        <v>201</v>
      </c>
      <c r="H4" s="3">
        <f t="shared" ref="H4:H23" si="0">ROUND(E4/D4,2)</f>
        <v>36</v>
      </c>
      <c r="I4" s="3">
        <f t="shared" ref="I4:I23" si="1">ROUND((E4/G4)*100,2)</f>
        <v>805.97</v>
      </c>
      <c r="J4" s="3">
        <v>12</v>
      </c>
      <c r="K4" s="3">
        <v>9</v>
      </c>
    </row>
    <row r="5" spans="1:12" x14ac:dyDescent="0.35">
      <c r="A5" s="3" t="s">
        <v>15</v>
      </c>
      <c r="B5" s="3" t="s">
        <v>16</v>
      </c>
      <c r="C5" s="3" t="s">
        <v>14</v>
      </c>
      <c r="D5" s="3">
        <v>52</v>
      </c>
      <c r="E5" s="3">
        <v>1890</v>
      </c>
      <c r="F5" s="3">
        <v>29</v>
      </c>
      <c r="G5" s="3">
        <v>210</v>
      </c>
      <c r="H5" s="3">
        <f t="shared" si="0"/>
        <v>36.35</v>
      </c>
      <c r="I5" s="3">
        <f t="shared" si="1"/>
        <v>900</v>
      </c>
      <c r="J5" s="3">
        <v>10</v>
      </c>
      <c r="K5" s="3">
        <v>8</v>
      </c>
    </row>
    <row r="6" spans="1:12" x14ac:dyDescent="0.35">
      <c r="A6" s="3" t="s">
        <v>17</v>
      </c>
      <c r="B6" s="3" t="s">
        <v>18</v>
      </c>
      <c r="C6" s="3" t="s">
        <v>19</v>
      </c>
      <c r="D6" s="3">
        <v>48</v>
      </c>
      <c r="E6" s="3">
        <v>1340</v>
      </c>
      <c r="F6" s="3">
        <v>33</v>
      </c>
      <c r="G6" s="3">
        <v>180</v>
      </c>
      <c r="H6" s="3">
        <f t="shared" si="0"/>
        <v>27.92</v>
      </c>
      <c r="I6" s="3">
        <f t="shared" si="1"/>
        <v>744.44</v>
      </c>
      <c r="J6" s="3">
        <v>5</v>
      </c>
      <c r="K6" s="3">
        <v>7</v>
      </c>
    </row>
    <row r="7" spans="1:12" x14ac:dyDescent="0.35">
      <c r="A7" s="3" t="s">
        <v>20</v>
      </c>
      <c r="B7" s="3" t="s">
        <v>21</v>
      </c>
      <c r="C7" s="3" t="s">
        <v>22</v>
      </c>
      <c r="D7" s="3">
        <v>60</v>
      </c>
      <c r="E7" s="3">
        <v>210</v>
      </c>
      <c r="F7" s="3">
        <v>15</v>
      </c>
      <c r="G7" s="3">
        <v>400</v>
      </c>
      <c r="H7" s="3">
        <f t="shared" si="0"/>
        <v>3.5</v>
      </c>
      <c r="I7" s="3">
        <f t="shared" si="1"/>
        <v>52.5</v>
      </c>
      <c r="J7" s="3">
        <v>0</v>
      </c>
      <c r="K7" s="3">
        <v>0</v>
      </c>
    </row>
    <row r="8" spans="1:12" x14ac:dyDescent="0.35">
      <c r="A8" s="3" t="s">
        <v>23</v>
      </c>
      <c r="B8" s="3" t="s">
        <v>13</v>
      </c>
      <c r="C8" s="3" t="s">
        <v>24</v>
      </c>
      <c r="D8" s="3">
        <v>55</v>
      </c>
      <c r="E8" s="3">
        <v>1750</v>
      </c>
      <c r="F8" s="3">
        <v>42</v>
      </c>
      <c r="G8" s="3">
        <v>205</v>
      </c>
      <c r="H8" s="3">
        <f t="shared" si="0"/>
        <v>31.82</v>
      </c>
      <c r="I8" s="3">
        <f t="shared" si="1"/>
        <v>853.66</v>
      </c>
      <c r="J8" s="3">
        <v>11</v>
      </c>
      <c r="K8" s="3">
        <v>9</v>
      </c>
    </row>
    <row r="9" spans="1:12" x14ac:dyDescent="0.35">
      <c r="A9" s="3" t="s">
        <v>25</v>
      </c>
      <c r="B9" s="3" t="s">
        <v>26</v>
      </c>
      <c r="C9" s="3" t="s">
        <v>22</v>
      </c>
      <c r="D9" s="3">
        <v>58</v>
      </c>
      <c r="E9" s="3">
        <v>180</v>
      </c>
      <c r="F9" s="3">
        <v>8</v>
      </c>
      <c r="G9" s="3">
        <v>355</v>
      </c>
      <c r="H9" s="3">
        <f t="shared" si="0"/>
        <v>3.1</v>
      </c>
      <c r="I9" s="3">
        <f t="shared" si="1"/>
        <v>50.7</v>
      </c>
      <c r="J9" s="3">
        <v>0</v>
      </c>
      <c r="K9" s="3">
        <v>0</v>
      </c>
    </row>
    <row r="10" spans="1:12" x14ac:dyDescent="0.35">
      <c r="A10" s="3" t="s">
        <v>27</v>
      </c>
      <c r="B10" s="3" t="s">
        <v>21</v>
      </c>
      <c r="C10" s="3" t="s">
        <v>19</v>
      </c>
      <c r="D10" s="3">
        <v>50</v>
      </c>
      <c r="E10" s="3">
        <v>1200</v>
      </c>
      <c r="F10" s="3">
        <v>36</v>
      </c>
      <c r="G10" s="3">
        <v>160</v>
      </c>
      <c r="H10" s="3">
        <f t="shared" si="0"/>
        <v>24</v>
      </c>
      <c r="I10" s="3">
        <f t="shared" si="1"/>
        <v>750</v>
      </c>
      <c r="J10" s="3">
        <v>6</v>
      </c>
      <c r="K10" s="3">
        <v>6</v>
      </c>
    </row>
    <row r="11" spans="1:12" x14ac:dyDescent="0.35">
      <c r="A11" s="3" t="s">
        <v>28</v>
      </c>
      <c r="B11" s="3" t="s">
        <v>26</v>
      </c>
      <c r="C11" s="3" t="s">
        <v>14</v>
      </c>
      <c r="D11" s="3">
        <v>47</v>
      </c>
      <c r="E11" s="3">
        <v>1580</v>
      </c>
      <c r="F11" s="3">
        <v>40</v>
      </c>
      <c r="G11" s="3">
        <v>190</v>
      </c>
      <c r="H11" s="3">
        <f t="shared" si="0"/>
        <v>33.619999999999997</v>
      </c>
      <c r="I11" s="3">
        <f t="shared" si="1"/>
        <v>831.58</v>
      </c>
      <c r="J11" s="3">
        <v>9</v>
      </c>
      <c r="K11" s="3">
        <v>8</v>
      </c>
    </row>
    <row r="12" spans="1:12" x14ac:dyDescent="0.35">
      <c r="A12" s="3" t="s">
        <v>29</v>
      </c>
      <c r="B12" s="3" t="s">
        <v>13</v>
      </c>
      <c r="C12" s="3" t="s">
        <v>22</v>
      </c>
      <c r="D12" s="3">
        <v>62</v>
      </c>
      <c r="E12" s="3">
        <v>190</v>
      </c>
      <c r="F12" s="3">
        <v>12</v>
      </c>
      <c r="G12" s="3">
        <v>420</v>
      </c>
      <c r="H12" s="3">
        <f t="shared" si="0"/>
        <v>3.06</v>
      </c>
      <c r="I12" s="3">
        <f t="shared" si="1"/>
        <v>45.24</v>
      </c>
      <c r="J12" s="3">
        <v>0</v>
      </c>
      <c r="K12" s="3">
        <v>0</v>
      </c>
    </row>
    <row r="13" spans="1:12" x14ac:dyDescent="0.35">
      <c r="A13" s="3" t="s">
        <v>30</v>
      </c>
      <c r="B13" s="3" t="s">
        <v>16</v>
      </c>
      <c r="C13" s="3" t="s">
        <v>19</v>
      </c>
      <c r="D13" s="3">
        <v>53</v>
      </c>
      <c r="E13" s="3">
        <v>1410</v>
      </c>
      <c r="F13" s="3">
        <v>31</v>
      </c>
      <c r="G13" s="3">
        <v>170</v>
      </c>
      <c r="H13" s="3">
        <f t="shared" si="0"/>
        <v>26.6</v>
      </c>
      <c r="I13" s="3">
        <f t="shared" si="1"/>
        <v>829.41</v>
      </c>
      <c r="J13" s="3">
        <v>7</v>
      </c>
      <c r="K13" s="3">
        <v>7</v>
      </c>
    </row>
    <row r="14" spans="1:12" x14ac:dyDescent="0.35">
      <c r="A14" s="3" t="s">
        <v>31</v>
      </c>
      <c r="B14" s="3" t="s">
        <v>13</v>
      </c>
      <c r="C14" s="3" t="s">
        <v>14</v>
      </c>
      <c r="D14" s="3">
        <v>44</v>
      </c>
      <c r="E14" s="3">
        <v>1500</v>
      </c>
      <c r="F14" s="3">
        <v>37</v>
      </c>
      <c r="G14" s="3">
        <v>198</v>
      </c>
      <c r="H14" s="3">
        <f t="shared" si="0"/>
        <v>34.090000000000003</v>
      </c>
      <c r="I14" s="3">
        <f t="shared" si="1"/>
        <v>757.58</v>
      </c>
      <c r="J14" s="3">
        <v>8</v>
      </c>
      <c r="K14" s="3">
        <v>9</v>
      </c>
    </row>
    <row r="15" spans="1:12" x14ac:dyDescent="0.35">
      <c r="A15" s="3" t="s">
        <v>32</v>
      </c>
      <c r="B15" s="3" t="s">
        <v>21</v>
      </c>
      <c r="C15" s="3" t="s">
        <v>22</v>
      </c>
      <c r="D15" s="3">
        <v>59</v>
      </c>
      <c r="E15" s="3">
        <v>150</v>
      </c>
      <c r="F15" s="3">
        <v>10</v>
      </c>
      <c r="G15" s="3">
        <v>380</v>
      </c>
      <c r="H15" s="3">
        <f t="shared" si="0"/>
        <v>2.54</v>
      </c>
      <c r="I15" s="3">
        <f t="shared" si="1"/>
        <v>39.47</v>
      </c>
      <c r="J15" s="3">
        <v>0</v>
      </c>
      <c r="K15" s="3">
        <v>0</v>
      </c>
    </row>
    <row r="16" spans="1:12" x14ac:dyDescent="0.35">
      <c r="A16" s="3" t="s">
        <v>33</v>
      </c>
      <c r="B16" s="3" t="s">
        <v>13</v>
      </c>
      <c r="C16" s="3" t="s">
        <v>24</v>
      </c>
      <c r="D16" s="3">
        <v>51</v>
      </c>
      <c r="E16" s="3">
        <v>1620</v>
      </c>
      <c r="F16" s="3">
        <v>39</v>
      </c>
      <c r="G16" s="3">
        <v>188</v>
      </c>
      <c r="H16" s="3">
        <f t="shared" si="0"/>
        <v>31.76</v>
      </c>
      <c r="I16" s="3">
        <f t="shared" si="1"/>
        <v>861.7</v>
      </c>
      <c r="J16" s="3">
        <v>10</v>
      </c>
      <c r="K16" s="3">
        <v>8</v>
      </c>
    </row>
    <row r="17" spans="1:11" x14ac:dyDescent="0.35">
      <c r="A17" s="3" t="s">
        <v>34</v>
      </c>
      <c r="B17" s="3" t="s">
        <v>16</v>
      </c>
      <c r="C17" s="3" t="s">
        <v>22</v>
      </c>
      <c r="D17" s="3">
        <v>57</v>
      </c>
      <c r="E17" s="3">
        <v>200</v>
      </c>
      <c r="F17" s="3">
        <v>11</v>
      </c>
      <c r="G17" s="3">
        <v>410</v>
      </c>
      <c r="H17" s="3">
        <f t="shared" si="0"/>
        <v>3.51</v>
      </c>
      <c r="I17" s="3">
        <f t="shared" si="1"/>
        <v>48.78</v>
      </c>
      <c r="J17" s="3">
        <v>0</v>
      </c>
      <c r="K17" s="3">
        <v>0</v>
      </c>
    </row>
    <row r="18" spans="1:11" x14ac:dyDescent="0.35">
      <c r="A18" s="3" t="s">
        <v>35</v>
      </c>
      <c r="B18" s="3" t="s">
        <v>26</v>
      </c>
      <c r="C18" s="3" t="s">
        <v>19</v>
      </c>
      <c r="D18" s="3">
        <v>49</v>
      </c>
      <c r="E18" s="3">
        <v>1280</v>
      </c>
      <c r="F18" s="3">
        <v>34</v>
      </c>
      <c r="G18" s="3">
        <v>165</v>
      </c>
      <c r="H18" s="3">
        <f t="shared" si="0"/>
        <v>26.12</v>
      </c>
      <c r="I18" s="3">
        <f t="shared" si="1"/>
        <v>775.76</v>
      </c>
      <c r="J18" s="3">
        <v>5</v>
      </c>
      <c r="K18" s="3">
        <v>6</v>
      </c>
    </row>
    <row r="19" spans="1:11" x14ac:dyDescent="0.35">
      <c r="A19" s="3" t="s">
        <v>36</v>
      </c>
      <c r="B19" s="3" t="s">
        <v>13</v>
      </c>
      <c r="C19" s="3" t="s">
        <v>14</v>
      </c>
      <c r="D19" s="3">
        <v>46</v>
      </c>
      <c r="E19" s="3">
        <v>1490</v>
      </c>
      <c r="F19" s="3">
        <v>35</v>
      </c>
      <c r="G19" s="3">
        <v>178</v>
      </c>
      <c r="H19" s="3">
        <f t="shared" si="0"/>
        <v>32.39</v>
      </c>
      <c r="I19" s="3">
        <f t="shared" si="1"/>
        <v>837.08</v>
      </c>
      <c r="J19" s="3">
        <v>8</v>
      </c>
      <c r="K19" s="3">
        <v>7</v>
      </c>
    </row>
    <row r="20" spans="1:11" x14ac:dyDescent="0.35">
      <c r="A20" s="3" t="s">
        <v>37</v>
      </c>
      <c r="B20" s="3" t="s">
        <v>18</v>
      </c>
      <c r="C20" s="3" t="s">
        <v>24</v>
      </c>
      <c r="D20" s="3">
        <v>54</v>
      </c>
      <c r="E20" s="3">
        <v>1700</v>
      </c>
      <c r="F20" s="3">
        <v>41</v>
      </c>
      <c r="G20" s="3">
        <v>195</v>
      </c>
      <c r="H20" s="3">
        <f t="shared" si="0"/>
        <v>31.48</v>
      </c>
      <c r="I20" s="3">
        <f t="shared" si="1"/>
        <v>871.79</v>
      </c>
      <c r="J20" s="3">
        <v>10</v>
      </c>
      <c r="K20" s="3">
        <v>9</v>
      </c>
    </row>
    <row r="21" spans="1:11" x14ac:dyDescent="0.35">
      <c r="A21" s="3" t="s">
        <v>38</v>
      </c>
      <c r="B21" s="3" t="s">
        <v>13</v>
      </c>
      <c r="C21" s="3" t="s">
        <v>22</v>
      </c>
      <c r="D21" s="3">
        <v>61</v>
      </c>
      <c r="E21" s="3">
        <v>170</v>
      </c>
      <c r="F21" s="3">
        <v>9</v>
      </c>
      <c r="G21" s="3">
        <v>395</v>
      </c>
      <c r="H21" s="3">
        <f t="shared" si="0"/>
        <v>2.79</v>
      </c>
      <c r="I21" s="3">
        <f t="shared" si="1"/>
        <v>43.04</v>
      </c>
      <c r="J21" s="3">
        <v>0</v>
      </c>
      <c r="K21" s="3">
        <v>0</v>
      </c>
    </row>
    <row r="22" spans="1:11" x14ac:dyDescent="0.35">
      <c r="A22" s="3" t="s">
        <v>39</v>
      </c>
      <c r="B22" s="3" t="s">
        <v>21</v>
      </c>
      <c r="C22" s="3" t="s">
        <v>14</v>
      </c>
      <c r="D22" s="3">
        <v>43</v>
      </c>
      <c r="E22" s="3">
        <v>1380</v>
      </c>
      <c r="F22" s="3">
        <v>32</v>
      </c>
      <c r="G22" s="3">
        <v>182</v>
      </c>
      <c r="H22" s="3">
        <f t="shared" si="0"/>
        <v>32.090000000000003</v>
      </c>
      <c r="I22" s="3">
        <f t="shared" si="1"/>
        <v>758.24</v>
      </c>
      <c r="J22" s="3">
        <v>7</v>
      </c>
      <c r="K22" s="3">
        <v>8</v>
      </c>
    </row>
    <row r="23" spans="1:11" x14ac:dyDescent="0.35">
      <c r="A23" s="3" t="s">
        <v>40</v>
      </c>
      <c r="B23" s="3" t="s">
        <v>26</v>
      </c>
      <c r="C23" s="3" t="s">
        <v>22</v>
      </c>
      <c r="D23" s="3">
        <v>56</v>
      </c>
      <c r="E23" s="3">
        <v>160</v>
      </c>
      <c r="F23" s="3">
        <v>13</v>
      </c>
      <c r="G23" s="3">
        <v>365</v>
      </c>
      <c r="H23" s="3">
        <f t="shared" si="0"/>
        <v>2.86</v>
      </c>
      <c r="I23" s="3">
        <f t="shared" si="1"/>
        <v>43.84</v>
      </c>
      <c r="J23" s="3">
        <v>0</v>
      </c>
      <c r="K23" s="3">
        <v>0</v>
      </c>
    </row>
    <row r="25" spans="1:11" x14ac:dyDescent="0.35">
      <c r="A25" s="4" t="s">
        <v>41</v>
      </c>
      <c r="D25" s="4">
        <f>SUM(D4:D23)</f>
        <v>1050</v>
      </c>
      <c r="E25" s="4">
        <f>SUM(E4:E23)</f>
        <v>21020</v>
      </c>
      <c r="F25" s="4">
        <f>SUM(F4:F23)</f>
        <v>545</v>
      </c>
      <c r="H25" s="4">
        <f>ROUND(AVERAGE(H4:H23),2)</f>
        <v>21.28</v>
      </c>
      <c r="I25" s="4">
        <f>ROUND(AVERAGE(I4:I23),2)</f>
        <v>545.04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Sheet6</vt:lpstr>
      <vt:lpstr>Sheet3</vt:lpstr>
      <vt:lpstr>Sheet2</vt:lpstr>
      <vt:lpstr>Sheet5</vt:lpstr>
      <vt:lpstr>Sheet4</vt:lpstr>
      <vt:lpstr>Player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2026-06-30T17:00:27Z</dcterms:created>
  <dcterms:modified xsi:type="dcterms:W3CDTF">2026-07-02T06:18:06Z</dcterms:modified>
  <dc:language>en-US</dc:language>
</cp:coreProperties>
</file>